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mdh-my.sharepoint.com/personal/abs21004_student_mdu_se/Documents/RPG/Return to Farlorret/Spellscrolls/"/>
    </mc:Choice>
  </mc:AlternateContent>
  <xr:revisionPtr revIDLastSave="10" documentId="13_ncr:8000000b_{ACBF3D38-1FC0-483D-A450-C22652F997C7}" xr6:coauthVersionLast="47" xr6:coauthVersionMax="47" xr10:uidLastSave="{A07481DD-1553-4F04-877E-D16AE434A0A1}"/>
  <bookViews>
    <workbookView xWindow="-120" yWindow="-120" windowWidth="29040" windowHeight="15840" xr2:uid="{712B6D23-A449-45FD-8B49-149B6453368A}"/>
  </bookViews>
  <sheets>
    <sheet name="Data" sheetId="1" r:id="rId1"/>
    <sheet name="Lookup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G15" i="1" s="1"/>
  <c r="F16" i="1"/>
  <c r="H16" i="1" s="1"/>
  <c r="I16" i="1" s="1"/>
  <c r="F17" i="1"/>
  <c r="F18" i="1"/>
  <c r="F19" i="1"/>
  <c r="H19" i="1" s="1"/>
  <c r="I19" i="1" s="1"/>
  <c r="F20" i="1"/>
  <c r="F21" i="1"/>
  <c r="F22" i="1"/>
  <c r="F23" i="1"/>
  <c r="F24" i="1"/>
  <c r="F25" i="1"/>
  <c r="F26" i="1"/>
  <c r="F27" i="1"/>
  <c r="F28" i="1"/>
  <c r="H28" i="1" s="1"/>
  <c r="I28" i="1" s="1"/>
  <c r="F29" i="1"/>
  <c r="F30" i="1"/>
  <c r="F31" i="1"/>
  <c r="H31" i="1" s="1"/>
  <c r="I31" i="1" s="1"/>
  <c r="F32" i="1"/>
  <c r="F33" i="1"/>
  <c r="F34" i="1"/>
  <c r="F35" i="1"/>
  <c r="H35" i="1" s="1"/>
  <c r="I35" i="1" s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G51" i="1" s="1"/>
  <c r="F52" i="1"/>
  <c r="F53" i="1"/>
  <c r="F54" i="1"/>
  <c r="F55" i="1"/>
  <c r="H55" i="1" s="1"/>
  <c r="I55" i="1" s="1"/>
  <c r="F56" i="1"/>
  <c r="F57" i="1"/>
  <c r="F58" i="1"/>
  <c r="F59" i="1"/>
  <c r="F60" i="1"/>
  <c r="F61" i="1"/>
  <c r="F62" i="1"/>
  <c r="F63" i="1"/>
  <c r="H63" i="1" s="1"/>
  <c r="I63" i="1" s="1"/>
  <c r="F64" i="1"/>
  <c r="G64" i="1" s="1"/>
  <c r="F65" i="1"/>
  <c r="F66" i="1"/>
  <c r="H66" i="1" s="1"/>
  <c r="I66" i="1" s="1"/>
  <c r="F67" i="1"/>
  <c r="H67" i="1" s="1"/>
  <c r="I67" i="1" s="1"/>
  <c r="F68" i="1"/>
  <c r="F69" i="1"/>
  <c r="F70" i="1"/>
  <c r="F71" i="1"/>
  <c r="F72" i="1"/>
  <c r="F73" i="1"/>
  <c r="F74" i="1"/>
  <c r="H74" i="1" s="1"/>
  <c r="I74" i="1" s="1"/>
  <c r="F75" i="1"/>
  <c r="F3" i="1"/>
  <c r="H3" i="1" s="1"/>
  <c r="I3" i="1" s="1"/>
  <c r="G14" i="1"/>
  <c r="H6" i="1"/>
  <c r="I6" i="1" s="1"/>
  <c r="G7" i="1"/>
  <c r="H73" i="1"/>
  <c r="I73" i="1" s="1"/>
  <c r="H20" i="1"/>
  <c r="I20" i="1" s="1"/>
  <c r="H36" i="1"/>
  <c r="I36" i="1" s="1"/>
  <c r="H27" i="1"/>
  <c r="I27" i="1" s="1"/>
  <c r="H21" i="1"/>
  <c r="I21" i="1" s="1"/>
  <c r="H61" i="1"/>
  <c r="I61" i="1" s="1"/>
  <c r="G62" i="1"/>
  <c r="G22" i="1"/>
  <c r="H37" i="1"/>
  <c r="I37" i="1" s="1"/>
  <c r="H56" i="1"/>
  <c r="I56" i="1" s="1"/>
  <c r="H8" i="1"/>
  <c r="I8" i="1" s="1"/>
  <c r="G38" i="1"/>
  <c r="G39" i="1"/>
  <c r="G65" i="1"/>
  <c r="G23" i="1"/>
  <c r="G40" i="1"/>
  <c r="H41" i="1"/>
  <c r="I41" i="1" s="1"/>
  <c r="H29" i="1"/>
  <c r="I29" i="1" s="1"/>
  <c r="H42" i="1"/>
  <c r="I42" i="1" s="1"/>
  <c r="H30" i="1"/>
  <c r="I30" i="1" s="1"/>
  <c r="G43" i="1"/>
  <c r="H24" i="1"/>
  <c r="I24" i="1" s="1"/>
  <c r="G57" i="1"/>
  <c r="G25" i="1"/>
  <c r="G44" i="1"/>
  <c r="G68" i="1"/>
  <c r="H58" i="1"/>
  <c r="I58" i="1" s="1"/>
  <c r="G45" i="1"/>
  <c r="G75" i="1"/>
  <c r="G59" i="1"/>
  <c r="G17" i="1"/>
  <c r="H9" i="1"/>
  <c r="I9" i="1" s="1"/>
  <c r="H71" i="1"/>
  <c r="I71" i="1" s="1"/>
  <c r="H10" i="1"/>
  <c r="I10" i="1" s="1"/>
  <c r="H33" i="1"/>
  <c r="I33" i="1" s="1"/>
  <c r="H4" i="1"/>
  <c r="I4" i="1" s="1"/>
  <c r="H46" i="1"/>
  <c r="I46" i="1" s="1"/>
  <c r="H18" i="1"/>
  <c r="I18" i="1" s="1"/>
  <c r="H69" i="1"/>
  <c r="I69" i="1" s="1"/>
  <c r="H47" i="1"/>
  <c r="I47" i="1" s="1"/>
  <c r="H11" i="1"/>
  <c r="I11" i="1" s="1"/>
  <c r="H48" i="1"/>
  <c r="I48" i="1" s="1"/>
  <c r="G12" i="1"/>
  <c r="H13" i="1"/>
  <c r="I13" i="1" s="1"/>
  <c r="G26" i="1"/>
  <c r="G49" i="1"/>
  <c r="G50" i="1"/>
  <c r="G5" i="1"/>
  <c r="G52" i="1"/>
  <c r="G60" i="1"/>
  <c r="H72" i="1"/>
  <c r="I72" i="1" s="1"/>
  <c r="H34" i="1"/>
  <c r="I34" i="1" s="1"/>
  <c r="H53" i="1"/>
  <c r="I53" i="1" s="1"/>
  <c r="H54" i="1"/>
  <c r="I54" i="1" s="1"/>
  <c r="H70" i="1"/>
  <c r="I70" i="1" s="1"/>
  <c r="H32" i="1"/>
  <c r="I32" i="1" s="1"/>
  <c r="J17" i="1" l="1"/>
  <c r="K17" i="1" s="1"/>
  <c r="N58" i="1"/>
  <c r="O58" i="1" s="1"/>
  <c r="J16" i="1"/>
  <c r="N64" i="1"/>
  <c r="O64" i="1" s="1"/>
  <c r="J26" i="1"/>
  <c r="J11" i="1"/>
  <c r="J46" i="1"/>
  <c r="K46" i="1" s="1"/>
  <c r="J10" i="1"/>
  <c r="P17" i="1"/>
  <c r="T24" i="1"/>
  <c r="U24" i="1" s="1"/>
  <c r="T23" i="1"/>
  <c r="U23" i="1" s="1"/>
  <c r="P15" i="1"/>
  <c r="P36" i="1"/>
  <c r="T53" i="1"/>
  <c r="U53" i="1" s="1"/>
  <c r="T60" i="1"/>
  <c r="U60" i="1" s="1"/>
  <c r="P69" i="1"/>
  <c r="J58" i="1"/>
  <c r="K58" i="1" s="1"/>
  <c r="J25" i="1"/>
  <c r="N29" i="1"/>
  <c r="O29" i="1" s="1"/>
  <c r="J23" i="1"/>
  <c r="N55" i="1"/>
  <c r="O55" i="1" s="1"/>
  <c r="N14" i="1"/>
  <c r="O14" i="1" s="1"/>
  <c r="J72" i="1"/>
  <c r="N13" i="1"/>
  <c r="O13" i="1" s="1"/>
  <c r="N47" i="1"/>
  <c r="O47" i="1" s="1"/>
  <c r="N4" i="1"/>
  <c r="O4" i="1" s="1"/>
  <c r="N71" i="1"/>
  <c r="O71" i="1" s="1"/>
  <c r="P42" i="1"/>
  <c r="P41" i="1"/>
  <c r="P8" i="1"/>
  <c r="P37" i="1"/>
  <c r="T20" i="1"/>
  <c r="U20" i="1" s="1"/>
  <c r="T14" i="1"/>
  <c r="U14" i="1" s="1"/>
  <c r="P50" i="1"/>
  <c r="P3" i="1"/>
  <c r="N59" i="1"/>
  <c r="O59" i="1" s="1"/>
  <c r="J43" i="1"/>
  <c r="J74" i="1"/>
  <c r="N65" i="1"/>
  <c r="O65" i="1" s="1"/>
  <c r="J37" i="1"/>
  <c r="J36" i="1"/>
  <c r="J35" i="1"/>
  <c r="T59" i="1"/>
  <c r="U59" i="1" s="1"/>
  <c r="P68" i="1"/>
  <c r="P24" i="1"/>
  <c r="T16" i="1"/>
  <c r="U16" i="1" s="1"/>
  <c r="T67" i="1"/>
  <c r="U67" i="1" s="1"/>
  <c r="T22" i="1"/>
  <c r="U22" i="1" s="1"/>
  <c r="T55" i="1"/>
  <c r="U55" i="1" s="1"/>
  <c r="P53" i="1"/>
  <c r="P12" i="1"/>
  <c r="T18" i="1"/>
  <c r="U18" i="1" s="1"/>
  <c r="T33" i="1"/>
  <c r="U33" i="1" s="1"/>
  <c r="G30" i="1"/>
  <c r="N68" i="1"/>
  <c r="O68" i="1" s="1"/>
  <c r="N57" i="1"/>
  <c r="O57" i="1" s="1"/>
  <c r="J64" i="1"/>
  <c r="N22" i="1"/>
  <c r="O22" i="1" s="1"/>
  <c r="N20" i="1"/>
  <c r="O20" i="1" s="1"/>
  <c r="N53" i="1"/>
  <c r="O53" i="1" s="1"/>
  <c r="N60" i="1"/>
  <c r="O60" i="1" s="1"/>
  <c r="J5" i="1"/>
  <c r="J13" i="1"/>
  <c r="J4" i="1"/>
  <c r="T44" i="1"/>
  <c r="U44" i="1" s="1"/>
  <c r="T31" i="1"/>
  <c r="U31" i="1" s="1"/>
  <c r="P23" i="1"/>
  <c r="T64" i="1"/>
  <c r="U64" i="1" s="1"/>
  <c r="P20" i="1"/>
  <c r="P60" i="1"/>
  <c r="T49" i="1"/>
  <c r="U49" i="1" s="1"/>
  <c r="T48" i="1"/>
  <c r="U48" i="1" s="1"/>
  <c r="G42" i="1"/>
  <c r="J57" i="1"/>
  <c r="K57" i="1" s="1"/>
  <c r="N30" i="1"/>
  <c r="O30" i="1" s="1"/>
  <c r="J29" i="1"/>
  <c r="N66" i="1"/>
  <c r="O66" i="1" s="1"/>
  <c r="J55" i="1"/>
  <c r="J14" i="1"/>
  <c r="N50" i="1"/>
  <c r="O50" i="1" s="1"/>
  <c r="P59" i="1"/>
  <c r="P67" i="1"/>
  <c r="T65" i="1"/>
  <c r="U65" i="1" s="1"/>
  <c r="P22" i="1"/>
  <c r="P14" i="1"/>
  <c r="T34" i="1"/>
  <c r="U34" i="1" s="1"/>
  <c r="T52" i="1"/>
  <c r="U52" i="1" s="1"/>
  <c r="P48" i="1"/>
  <c r="Q48" i="1" s="1"/>
  <c r="P33" i="1"/>
  <c r="G48" i="1"/>
  <c r="J30" i="1"/>
  <c r="K30" i="1" s="1"/>
  <c r="J65" i="1"/>
  <c r="N56" i="1"/>
  <c r="O56" i="1" s="1"/>
  <c r="N12" i="1"/>
  <c r="O12" i="1" s="1"/>
  <c r="J47" i="1"/>
  <c r="N3" i="1"/>
  <c r="O3" i="1" s="1"/>
  <c r="J71" i="1"/>
  <c r="T75" i="1"/>
  <c r="U75" i="1" s="1"/>
  <c r="P31" i="1"/>
  <c r="P16" i="1"/>
  <c r="P55" i="1"/>
  <c r="T73" i="1"/>
  <c r="U73" i="1" s="1"/>
  <c r="T70" i="1"/>
  <c r="U70" i="1" s="1"/>
  <c r="P52" i="1"/>
  <c r="Q52" i="1" s="1"/>
  <c r="T11" i="1"/>
  <c r="U11" i="1" s="1"/>
  <c r="P18" i="1"/>
  <c r="T10" i="1"/>
  <c r="U10" i="1" s="1"/>
  <c r="H59" i="1"/>
  <c r="I59" i="1" s="1"/>
  <c r="J59" i="1"/>
  <c r="N24" i="1"/>
  <c r="O24" i="1" s="1"/>
  <c r="N28" i="1"/>
  <c r="O28" i="1" s="1"/>
  <c r="J66" i="1"/>
  <c r="J22" i="1"/>
  <c r="N21" i="1"/>
  <c r="O21" i="1" s="1"/>
  <c r="J20" i="1"/>
  <c r="N70" i="1"/>
  <c r="O70" i="1" s="1"/>
  <c r="J53" i="1"/>
  <c r="J60" i="1"/>
  <c r="J50" i="1"/>
  <c r="N69" i="1"/>
  <c r="O69" i="1" s="1"/>
  <c r="N9" i="1"/>
  <c r="O9" i="1" s="1"/>
  <c r="P44" i="1"/>
  <c r="T29" i="1"/>
  <c r="U29" i="1" s="1"/>
  <c r="T74" i="1"/>
  <c r="U74" i="1" s="1"/>
  <c r="P65" i="1"/>
  <c r="P64" i="1"/>
  <c r="T62" i="1"/>
  <c r="U62" i="1" s="1"/>
  <c r="T21" i="1"/>
  <c r="U21" i="1" s="1"/>
  <c r="P70" i="1"/>
  <c r="Q70" i="1" s="1"/>
  <c r="T51" i="1"/>
  <c r="U51" i="1" s="1"/>
  <c r="P49" i="1"/>
  <c r="H75" i="1"/>
  <c r="I75" i="1" s="1"/>
  <c r="N75" i="1"/>
  <c r="O75" i="1" s="1"/>
  <c r="J68" i="1"/>
  <c r="N42" i="1"/>
  <c r="O42" i="1" s="1"/>
  <c r="J28" i="1"/>
  <c r="K28" i="1" s="1"/>
  <c r="N39" i="1"/>
  <c r="O39" i="1" s="1"/>
  <c r="J56" i="1"/>
  <c r="J21" i="1"/>
  <c r="K21" i="1" s="1"/>
  <c r="J70" i="1"/>
  <c r="K70" i="1" s="1"/>
  <c r="J9" i="1"/>
  <c r="K9" i="1" s="1"/>
  <c r="P75" i="1"/>
  <c r="T25" i="1"/>
  <c r="U25" i="1" s="1"/>
  <c r="T43" i="1"/>
  <c r="U43" i="1" s="1"/>
  <c r="T56" i="1"/>
  <c r="U56" i="1" s="1"/>
  <c r="P21" i="1"/>
  <c r="Q21" i="1" s="1"/>
  <c r="T54" i="1"/>
  <c r="U54" i="1" s="1"/>
  <c r="P34" i="1"/>
  <c r="T46" i="1"/>
  <c r="U46" i="1" s="1"/>
  <c r="J32" i="1"/>
  <c r="N44" i="1"/>
  <c r="O44" i="1" s="1"/>
  <c r="N40" i="1"/>
  <c r="O40" i="1" s="1"/>
  <c r="J39" i="1"/>
  <c r="K39" i="1" s="1"/>
  <c r="N62" i="1"/>
  <c r="O62" i="1" s="1"/>
  <c r="N73" i="1"/>
  <c r="O73" i="1" s="1"/>
  <c r="N34" i="1"/>
  <c r="O34" i="1" s="1"/>
  <c r="N52" i="1"/>
  <c r="O52" i="1" s="1"/>
  <c r="N49" i="1"/>
  <c r="O49" i="1" s="1"/>
  <c r="J12" i="1"/>
  <c r="J69" i="1"/>
  <c r="J3" i="1"/>
  <c r="P29" i="1"/>
  <c r="P74" i="1"/>
  <c r="T39" i="1"/>
  <c r="U39" i="1" s="1"/>
  <c r="P56" i="1"/>
  <c r="Q56" i="1" s="1"/>
  <c r="T27" i="1"/>
  <c r="U27" i="1" s="1"/>
  <c r="P73" i="1"/>
  <c r="T26" i="1"/>
  <c r="U26" i="1" s="1"/>
  <c r="J75" i="1"/>
  <c r="N41" i="1"/>
  <c r="O41" i="1" s="1"/>
  <c r="N63" i="1"/>
  <c r="O63" i="1" s="1"/>
  <c r="J62" i="1"/>
  <c r="K62" i="1" s="1"/>
  <c r="N27" i="1"/>
  <c r="O27" i="1" s="1"/>
  <c r="J73" i="1"/>
  <c r="K73" i="1" s="1"/>
  <c r="N54" i="1"/>
  <c r="O54" i="1" s="1"/>
  <c r="J34" i="1"/>
  <c r="K34" i="1" s="1"/>
  <c r="J52" i="1"/>
  <c r="K52" i="1" s="1"/>
  <c r="T45" i="1"/>
  <c r="U45" i="1" s="1"/>
  <c r="P25" i="1"/>
  <c r="T66" i="1"/>
  <c r="U66" i="1" s="1"/>
  <c r="T63" i="1"/>
  <c r="U63" i="1" s="1"/>
  <c r="P62" i="1"/>
  <c r="T19" i="1"/>
  <c r="U19" i="1" s="1"/>
  <c r="P11" i="1"/>
  <c r="P46" i="1"/>
  <c r="P10" i="1"/>
  <c r="J24" i="1"/>
  <c r="J41" i="1"/>
  <c r="K41" i="1" s="1"/>
  <c r="N38" i="1"/>
  <c r="O38" i="1" s="1"/>
  <c r="N51" i="1"/>
  <c r="O51" i="1" s="1"/>
  <c r="N48" i="1"/>
  <c r="O48" i="1" s="1"/>
  <c r="N18" i="1"/>
  <c r="O18" i="1" s="1"/>
  <c r="N33" i="1"/>
  <c r="O33" i="1" s="1"/>
  <c r="P32" i="1"/>
  <c r="R32" i="1" s="1"/>
  <c r="S32" i="1" s="1"/>
  <c r="P43" i="1"/>
  <c r="T28" i="1"/>
  <c r="U28" i="1" s="1"/>
  <c r="P66" i="1"/>
  <c r="Q66" i="1" s="1"/>
  <c r="T7" i="1"/>
  <c r="U7" i="1" s="1"/>
  <c r="P51" i="1"/>
  <c r="P26" i="1"/>
  <c r="T47" i="1"/>
  <c r="U47" i="1" s="1"/>
  <c r="T4" i="1"/>
  <c r="U4" i="1" s="1"/>
  <c r="T71" i="1"/>
  <c r="U71" i="1" s="1"/>
  <c r="N45" i="1"/>
  <c r="O45" i="1" s="1"/>
  <c r="N31" i="1"/>
  <c r="O31" i="1" s="1"/>
  <c r="J42" i="1"/>
  <c r="N67" i="1"/>
  <c r="O67" i="1" s="1"/>
  <c r="J38" i="1"/>
  <c r="K38" i="1" s="1"/>
  <c r="N61" i="1"/>
  <c r="O61" i="1" s="1"/>
  <c r="N7" i="1"/>
  <c r="O7" i="1" s="1"/>
  <c r="N19" i="1"/>
  <c r="O19" i="1" s="1"/>
  <c r="J49" i="1"/>
  <c r="J48" i="1"/>
  <c r="K48" i="1" s="1"/>
  <c r="J33" i="1"/>
  <c r="K33" i="1" s="1"/>
  <c r="T32" i="1"/>
  <c r="U32" i="1" s="1"/>
  <c r="P45" i="1"/>
  <c r="T57" i="1"/>
  <c r="U57" i="1" s="1"/>
  <c r="T30" i="1"/>
  <c r="U30" i="1" s="1"/>
  <c r="T40" i="1"/>
  <c r="U40" i="1" s="1"/>
  <c r="P39" i="1"/>
  <c r="T61" i="1"/>
  <c r="U61" i="1" s="1"/>
  <c r="P54" i="1"/>
  <c r="P19" i="1"/>
  <c r="T5" i="1"/>
  <c r="U5" i="1" s="1"/>
  <c r="T13" i="1"/>
  <c r="U13" i="1" s="1"/>
  <c r="N32" i="1"/>
  <c r="O32" i="1" s="1"/>
  <c r="J44" i="1"/>
  <c r="N16" i="1"/>
  <c r="O16" i="1" s="1"/>
  <c r="J40" i="1"/>
  <c r="N8" i="1"/>
  <c r="O8" i="1" s="1"/>
  <c r="J61" i="1"/>
  <c r="K61" i="1" s="1"/>
  <c r="J7" i="1"/>
  <c r="K7" i="1" s="1"/>
  <c r="N11" i="1"/>
  <c r="O11" i="1" s="1"/>
  <c r="N10" i="1"/>
  <c r="O10" i="1" s="1"/>
  <c r="T58" i="1"/>
  <c r="U58" i="1" s="1"/>
  <c r="P30" i="1"/>
  <c r="Q30" i="1" s="1"/>
  <c r="P27" i="1"/>
  <c r="P7" i="1"/>
  <c r="T35" i="1"/>
  <c r="U35" i="1" s="1"/>
  <c r="T72" i="1"/>
  <c r="U72" i="1" s="1"/>
  <c r="P4" i="1"/>
  <c r="J31" i="1"/>
  <c r="J67" i="1"/>
  <c r="N23" i="1"/>
  <c r="O23" i="1" s="1"/>
  <c r="J63" i="1"/>
  <c r="N15" i="1"/>
  <c r="O15" i="1" s="1"/>
  <c r="J27" i="1"/>
  <c r="N6" i="1"/>
  <c r="O6" i="1" s="1"/>
  <c r="J54" i="1"/>
  <c r="N26" i="1"/>
  <c r="O26" i="1" s="1"/>
  <c r="J18" i="1"/>
  <c r="T17" i="1"/>
  <c r="U17" i="1" s="1"/>
  <c r="P58" i="1"/>
  <c r="Q58" i="1" s="1"/>
  <c r="T42" i="1"/>
  <c r="U42" i="1" s="1"/>
  <c r="P28" i="1"/>
  <c r="T38" i="1"/>
  <c r="U38" i="1" s="1"/>
  <c r="P63" i="1"/>
  <c r="P61" i="1"/>
  <c r="T36" i="1"/>
  <c r="U36" i="1" s="1"/>
  <c r="T6" i="1"/>
  <c r="U6" i="1" s="1"/>
  <c r="P13" i="1"/>
  <c r="P47" i="1"/>
  <c r="P71" i="1"/>
  <c r="J45" i="1"/>
  <c r="N25" i="1"/>
  <c r="O25" i="1" s="1"/>
  <c r="J8" i="1"/>
  <c r="N37" i="1"/>
  <c r="O37" i="1" s="1"/>
  <c r="N36" i="1"/>
  <c r="O36" i="1" s="1"/>
  <c r="N35" i="1"/>
  <c r="O35" i="1" s="1"/>
  <c r="J19" i="1"/>
  <c r="J51" i="1"/>
  <c r="T68" i="1"/>
  <c r="U68" i="1" s="1"/>
  <c r="P57" i="1"/>
  <c r="P38" i="1"/>
  <c r="Q38" i="1" s="1"/>
  <c r="T37" i="1"/>
  <c r="U37" i="1" s="1"/>
  <c r="T15" i="1"/>
  <c r="U15" i="1" s="1"/>
  <c r="P72" i="1"/>
  <c r="P5" i="1"/>
  <c r="T69" i="1"/>
  <c r="U69" i="1" s="1"/>
  <c r="T3" i="1"/>
  <c r="U3" i="1" s="1"/>
  <c r="T9" i="1"/>
  <c r="U9" i="1" s="1"/>
  <c r="N17" i="1"/>
  <c r="O17" i="1" s="1"/>
  <c r="N43" i="1"/>
  <c r="O43" i="1" s="1"/>
  <c r="N74" i="1"/>
  <c r="O74" i="1" s="1"/>
  <c r="J15" i="1"/>
  <c r="J6" i="1"/>
  <c r="N72" i="1"/>
  <c r="O72" i="1" s="1"/>
  <c r="N5" i="1"/>
  <c r="O5" i="1" s="1"/>
  <c r="N46" i="1"/>
  <c r="O46" i="1" s="1"/>
  <c r="T41" i="1"/>
  <c r="U41" i="1" s="1"/>
  <c r="P40" i="1"/>
  <c r="T8" i="1"/>
  <c r="U8" i="1" s="1"/>
  <c r="P6" i="1"/>
  <c r="P35" i="1"/>
  <c r="T50" i="1"/>
  <c r="U50" i="1" s="1"/>
  <c r="T12" i="1"/>
  <c r="U12" i="1" s="1"/>
  <c r="P9" i="1"/>
  <c r="Q9" i="1" s="1"/>
  <c r="R38" i="1"/>
  <c r="S38" i="1" s="1"/>
  <c r="R30" i="1"/>
  <c r="S30" i="1" s="1"/>
  <c r="R66" i="1"/>
  <c r="S66" i="1" s="1"/>
  <c r="R56" i="1"/>
  <c r="S56" i="1" s="1"/>
  <c r="R21" i="1"/>
  <c r="S21" i="1" s="1"/>
  <c r="R70" i="1"/>
  <c r="S70" i="1" s="1"/>
  <c r="R52" i="1"/>
  <c r="S52" i="1" s="1"/>
  <c r="R48" i="1"/>
  <c r="S48" i="1" s="1"/>
  <c r="Q32" i="1"/>
  <c r="L17" i="1"/>
  <c r="M17" i="1" s="1"/>
  <c r="L28" i="1"/>
  <c r="M28" i="1" s="1"/>
  <c r="L39" i="1"/>
  <c r="M39" i="1" s="1"/>
  <c r="L62" i="1"/>
  <c r="M62" i="1" s="1"/>
  <c r="L73" i="1"/>
  <c r="M73" i="1" s="1"/>
  <c r="L57" i="1"/>
  <c r="M57" i="1" s="1"/>
  <c r="L41" i="1"/>
  <c r="M41" i="1" s="1"/>
  <c r="L61" i="1"/>
  <c r="M61" i="1" s="1"/>
  <c r="L7" i="1"/>
  <c r="M7" i="1" s="1"/>
  <c r="L46" i="1"/>
  <c r="M46" i="1" s="1"/>
  <c r="L58" i="1"/>
  <c r="M58" i="1" s="1"/>
  <c r="L52" i="1"/>
  <c r="M52" i="1" s="1"/>
  <c r="L48" i="1"/>
  <c r="M48" i="1" s="1"/>
  <c r="L33" i="1"/>
  <c r="M33" i="1" s="1"/>
  <c r="L30" i="1"/>
  <c r="M30" i="1" s="1"/>
  <c r="G11" i="1"/>
  <c r="G31" i="1"/>
  <c r="H17" i="1"/>
  <c r="I17" i="1" s="1"/>
  <c r="G29" i="1"/>
  <c r="G41" i="1"/>
  <c r="H43" i="1"/>
  <c r="I43" i="1" s="1"/>
  <c r="G8" i="1"/>
  <c r="G56" i="1"/>
  <c r="H40" i="1"/>
  <c r="I40" i="1" s="1"/>
  <c r="G63" i="1"/>
  <c r="H22" i="1"/>
  <c r="I22" i="1" s="1"/>
  <c r="G61" i="1"/>
  <c r="H15" i="1"/>
  <c r="I15" i="1" s="1"/>
  <c r="G6" i="1"/>
  <c r="G70" i="1"/>
  <c r="H60" i="1"/>
  <c r="I60" i="1" s="1"/>
  <c r="G54" i="1"/>
  <c r="H12" i="1"/>
  <c r="I12" i="1" s="1"/>
  <c r="G13" i="1"/>
  <c r="G16" i="1"/>
  <c r="G37" i="1"/>
  <c r="G35" i="1"/>
  <c r="G47" i="1"/>
  <c r="H23" i="1"/>
  <c r="I23" i="1" s="1"/>
  <c r="H62" i="1"/>
  <c r="I62" i="1" s="1"/>
  <c r="G53" i="1"/>
  <c r="G69" i="1"/>
  <c r="H45" i="1"/>
  <c r="I45" i="1" s="1"/>
  <c r="H65" i="1"/>
  <c r="I65" i="1" s="1"/>
  <c r="H52" i="1"/>
  <c r="I52" i="1" s="1"/>
  <c r="G28" i="1"/>
  <c r="G34" i="1"/>
  <c r="G18" i="1"/>
  <c r="H14" i="1"/>
  <c r="I14" i="1" s="1"/>
  <c r="H51" i="1"/>
  <c r="I51" i="1" s="1"/>
  <c r="G67" i="1"/>
  <c r="G72" i="1"/>
  <c r="G4" i="1"/>
  <c r="H5" i="1"/>
  <c r="I5" i="1" s="1"/>
  <c r="G46" i="1"/>
  <c r="G74" i="1"/>
  <c r="G55" i="1"/>
  <c r="G3" i="1"/>
  <c r="H68" i="1"/>
  <c r="I68" i="1" s="1"/>
  <c r="H38" i="1"/>
  <c r="I38" i="1" s="1"/>
  <c r="H50" i="1"/>
  <c r="I50" i="1" s="1"/>
  <c r="G19" i="1"/>
  <c r="H39" i="1"/>
  <c r="I39" i="1" s="1"/>
  <c r="G58" i="1"/>
  <c r="G66" i="1"/>
  <c r="G21" i="1"/>
  <c r="G33" i="1"/>
  <c r="H44" i="1"/>
  <c r="I44" i="1" s="1"/>
  <c r="H7" i="1"/>
  <c r="I7" i="1" s="1"/>
  <c r="G32" i="1"/>
  <c r="G27" i="1"/>
  <c r="G10" i="1"/>
  <c r="H25" i="1"/>
  <c r="I25" i="1" s="1"/>
  <c r="H49" i="1"/>
  <c r="I49" i="1" s="1"/>
  <c r="G36" i="1"/>
  <c r="G71" i="1"/>
  <c r="H64" i="1"/>
  <c r="I64" i="1" s="1"/>
  <c r="G20" i="1"/>
  <c r="G9" i="1"/>
  <c r="H57" i="1"/>
  <c r="I57" i="1" s="1"/>
  <c r="H26" i="1"/>
  <c r="I26" i="1" s="1"/>
  <c r="G73" i="1"/>
  <c r="G24" i="1"/>
  <c r="L38" i="1" l="1"/>
  <c r="M38" i="1" s="1"/>
  <c r="R58" i="1"/>
  <c r="S58" i="1" s="1"/>
  <c r="L34" i="1"/>
  <c r="M34" i="1" s="1"/>
  <c r="L9" i="1"/>
  <c r="M9" i="1" s="1"/>
  <c r="K69" i="1"/>
  <c r="L69" i="1"/>
  <c r="M69" i="1" s="1"/>
  <c r="K66" i="1"/>
  <c r="L66" i="1"/>
  <c r="M66" i="1" s="1"/>
  <c r="L4" i="1"/>
  <c r="M4" i="1" s="1"/>
  <c r="K4" i="1"/>
  <c r="Q69" i="1"/>
  <c r="R69" i="1"/>
  <c r="S69" i="1" s="1"/>
  <c r="K51" i="1"/>
  <c r="L51" i="1"/>
  <c r="M51" i="1" s="1"/>
  <c r="Q28" i="1"/>
  <c r="R28" i="1"/>
  <c r="S28" i="1" s="1"/>
  <c r="Q19" i="1"/>
  <c r="R19" i="1"/>
  <c r="S19" i="1" s="1"/>
  <c r="K12" i="1"/>
  <c r="L12" i="1"/>
  <c r="M12" i="1" s="1"/>
  <c r="K47" i="1"/>
  <c r="L47" i="1"/>
  <c r="M47" i="1" s="1"/>
  <c r="K14" i="1"/>
  <c r="L14" i="1"/>
  <c r="M14" i="1" s="1"/>
  <c r="L13" i="1"/>
  <c r="M13" i="1" s="1"/>
  <c r="K13" i="1"/>
  <c r="Q37" i="1"/>
  <c r="R37" i="1"/>
  <c r="S37" i="1" s="1"/>
  <c r="L6" i="1"/>
  <c r="M6" i="1" s="1"/>
  <c r="K6" i="1"/>
  <c r="K19" i="1"/>
  <c r="L19" i="1"/>
  <c r="M19" i="1" s="1"/>
  <c r="Q7" i="1"/>
  <c r="R7" i="1"/>
  <c r="S7" i="1" s="1"/>
  <c r="Q54" i="1"/>
  <c r="R54" i="1"/>
  <c r="S54" i="1" s="1"/>
  <c r="K42" i="1"/>
  <c r="L42" i="1"/>
  <c r="M42" i="1" s="1"/>
  <c r="R75" i="1"/>
  <c r="S75" i="1" s="1"/>
  <c r="Q75" i="1"/>
  <c r="Q64" i="1"/>
  <c r="R64" i="1"/>
  <c r="S64" i="1" s="1"/>
  <c r="K55" i="1"/>
  <c r="L55" i="1"/>
  <c r="M55" i="1" s="1"/>
  <c r="K5" i="1"/>
  <c r="L5" i="1"/>
  <c r="M5" i="1" s="1"/>
  <c r="R8" i="1"/>
  <c r="S8" i="1" s="1"/>
  <c r="Q8" i="1"/>
  <c r="L15" i="1"/>
  <c r="M15" i="1" s="1"/>
  <c r="K15" i="1"/>
  <c r="Q27" i="1"/>
  <c r="R27" i="1"/>
  <c r="S27" i="1" s="1"/>
  <c r="Q65" i="1"/>
  <c r="R65" i="1"/>
  <c r="S65" i="1" s="1"/>
  <c r="K59" i="1"/>
  <c r="L59" i="1"/>
  <c r="M59" i="1" s="1"/>
  <c r="Q24" i="1"/>
  <c r="R24" i="1"/>
  <c r="S24" i="1" s="1"/>
  <c r="Q41" i="1"/>
  <c r="R41" i="1"/>
  <c r="S41" i="1" s="1"/>
  <c r="Q36" i="1"/>
  <c r="R36" i="1"/>
  <c r="S36" i="1" s="1"/>
  <c r="Q39" i="1"/>
  <c r="R39" i="1"/>
  <c r="S39" i="1" s="1"/>
  <c r="K65" i="1"/>
  <c r="L65" i="1"/>
  <c r="M65" i="1" s="1"/>
  <c r="K29" i="1"/>
  <c r="L29" i="1"/>
  <c r="M29" i="1" s="1"/>
  <c r="Q68" i="1"/>
  <c r="R68" i="1"/>
  <c r="S68" i="1" s="1"/>
  <c r="R42" i="1"/>
  <c r="S42" i="1" s="1"/>
  <c r="Q42" i="1"/>
  <c r="R15" i="1"/>
  <c r="S15" i="1" s="1"/>
  <c r="Q15" i="1"/>
  <c r="K18" i="1"/>
  <c r="L18" i="1"/>
  <c r="M18" i="1" s="1"/>
  <c r="K24" i="1"/>
  <c r="L24" i="1"/>
  <c r="M24" i="1" s="1"/>
  <c r="L8" i="1"/>
  <c r="M8" i="1" s="1"/>
  <c r="K8" i="1"/>
  <c r="Q10" i="1"/>
  <c r="R10" i="1"/>
  <c r="S10" i="1" s="1"/>
  <c r="K56" i="1"/>
  <c r="L56" i="1"/>
  <c r="M56" i="1" s="1"/>
  <c r="Q44" i="1"/>
  <c r="R44" i="1"/>
  <c r="S44" i="1" s="1"/>
  <c r="Q18" i="1"/>
  <c r="R18" i="1"/>
  <c r="S18" i="1" s="1"/>
  <c r="K35" i="1"/>
  <c r="L35" i="1"/>
  <c r="M35" i="1" s="1"/>
  <c r="K54" i="1"/>
  <c r="L54" i="1"/>
  <c r="M54" i="1" s="1"/>
  <c r="Q46" i="1"/>
  <c r="R46" i="1"/>
  <c r="S46" i="1" s="1"/>
  <c r="L75" i="1"/>
  <c r="M75" i="1" s="1"/>
  <c r="K75" i="1"/>
  <c r="Q33" i="1"/>
  <c r="R33" i="1"/>
  <c r="S33" i="1" s="1"/>
  <c r="K64" i="1"/>
  <c r="L64" i="1"/>
  <c r="M64" i="1" s="1"/>
  <c r="K36" i="1"/>
  <c r="L36" i="1"/>
  <c r="M36" i="1" s="1"/>
  <c r="Q17" i="1"/>
  <c r="R17" i="1"/>
  <c r="S17" i="1" s="1"/>
  <c r="K45" i="1"/>
  <c r="L45" i="1"/>
  <c r="M45" i="1" s="1"/>
  <c r="R45" i="1"/>
  <c r="S45" i="1" s="1"/>
  <c r="Q45" i="1"/>
  <c r="Q26" i="1"/>
  <c r="R26" i="1"/>
  <c r="S26" i="1" s="1"/>
  <c r="Q11" i="1"/>
  <c r="R11" i="1"/>
  <c r="S11" i="1" s="1"/>
  <c r="K37" i="1"/>
  <c r="L37" i="1"/>
  <c r="M37" i="1" s="1"/>
  <c r="K10" i="1"/>
  <c r="L10" i="1"/>
  <c r="M10" i="1" s="1"/>
  <c r="Q71" i="1"/>
  <c r="R71" i="1"/>
  <c r="S71" i="1" s="1"/>
  <c r="K27" i="1"/>
  <c r="L27" i="1"/>
  <c r="M27" i="1" s="1"/>
  <c r="Q51" i="1"/>
  <c r="R51" i="1"/>
  <c r="S51" i="1" s="1"/>
  <c r="Q73" i="1"/>
  <c r="R73" i="1"/>
  <c r="S73" i="1" s="1"/>
  <c r="K50" i="1"/>
  <c r="L50" i="1"/>
  <c r="M50" i="1" s="1"/>
  <c r="L72" i="1"/>
  <c r="M72" i="1" s="1"/>
  <c r="K72" i="1"/>
  <c r="Q47" i="1"/>
  <c r="R47" i="1"/>
  <c r="S47" i="1" s="1"/>
  <c r="Q62" i="1"/>
  <c r="R62" i="1"/>
  <c r="S62" i="1" s="1"/>
  <c r="L32" i="1"/>
  <c r="M32" i="1" s="1"/>
  <c r="K32" i="1"/>
  <c r="K68" i="1"/>
  <c r="L68" i="1"/>
  <c r="M68" i="1" s="1"/>
  <c r="K60" i="1"/>
  <c r="L60" i="1"/>
  <c r="M60" i="1" s="1"/>
  <c r="Q60" i="1"/>
  <c r="R60" i="1"/>
  <c r="S60" i="1" s="1"/>
  <c r="K74" i="1"/>
  <c r="L74" i="1"/>
  <c r="M74" i="1" s="1"/>
  <c r="K11" i="1"/>
  <c r="L11" i="1"/>
  <c r="M11" i="1" s="1"/>
  <c r="R13" i="1"/>
  <c r="S13" i="1" s="1"/>
  <c r="Q13" i="1"/>
  <c r="K53" i="1"/>
  <c r="L53" i="1"/>
  <c r="M53" i="1" s="1"/>
  <c r="Q55" i="1"/>
  <c r="R55" i="1"/>
  <c r="S55" i="1" s="1"/>
  <c r="Q14" i="1"/>
  <c r="R14" i="1"/>
  <c r="S14" i="1" s="1"/>
  <c r="Q20" i="1"/>
  <c r="R20" i="1"/>
  <c r="S20" i="1" s="1"/>
  <c r="K43" i="1"/>
  <c r="L43" i="1"/>
  <c r="M43" i="1" s="1"/>
  <c r="K26" i="1"/>
  <c r="L26" i="1"/>
  <c r="M26" i="1" s="1"/>
  <c r="Q5" i="1"/>
  <c r="R5" i="1"/>
  <c r="S5" i="1" s="1"/>
  <c r="R6" i="1"/>
  <c r="S6" i="1" s="1"/>
  <c r="Q6" i="1"/>
  <c r="K49" i="1"/>
  <c r="L49" i="1"/>
  <c r="M49" i="1" s="1"/>
  <c r="Q34" i="1"/>
  <c r="R34" i="1"/>
  <c r="S34" i="1" s="1"/>
  <c r="Q16" i="1"/>
  <c r="R16" i="1"/>
  <c r="S16" i="1" s="1"/>
  <c r="Q22" i="1"/>
  <c r="R22" i="1"/>
  <c r="S22" i="1" s="1"/>
  <c r="L23" i="1"/>
  <c r="M23" i="1" s="1"/>
  <c r="K23" i="1"/>
  <c r="Q35" i="1"/>
  <c r="R35" i="1"/>
  <c r="S35" i="1" s="1"/>
  <c r="K63" i="1"/>
  <c r="L63" i="1"/>
  <c r="M63" i="1" s="1"/>
  <c r="L70" i="1"/>
  <c r="M70" i="1" s="1"/>
  <c r="R9" i="1"/>
  <c r="S9" i="1" s="1"/>
  <c r="Q40" i="1"/>
  <c r="R40" i="1"/>
  <c r="S40" i="1" s="1"/>
  <c r="L67" i="1"/>
  <c r="M67" i="1" s="1"/>
  <c r="K67" i="1"/>
  <c r="K44" i="1"/>
  <c r="L44" i="1"/>
  <c r="M44" i="1" s="1"/>
  <c r="Q43" i="1"/>
  <c r="R43" i="1"/>
  <c r="S43" i="1" s="1"/>
  <c r="Q25" i="1"/>
  <c r="R25" i="1"/>
  <c r="S25" i="1" s="1"/>
  <c r="R74" i="1"/>
  <c r="S74" i="1" s="1"/>
  <c r="Q74" i="1"/>
  <c r="Q49" i="1"/>
  <c r="R49" i="1"/>
  <c r="S49" i="1" s="1"/>
  <c r="K20" i="1"/>
  <c r="L20" i="1"/>
  <c r="M20" i="1" s="1"/>
  <c r="R31" i="1"/>
  <c r="S31" i="1" s="1"/>
  <c r="Q31" i="1"/>
  <c r="Q23" i="1"/>
  <c r="R23" i="1"/>
  <c r="S23" i="1" s="1"/>
  <c r="Q12" i="1"/>
  <c r="R12" i="1"/>
  <c r="S12" i="1" s="1"/>
  <c r="R3" i="1"/>
  <c r="S3" i="1" s="1"/>
  <c r="Q3" i="1"/>
  <c r="K16" i="1"/>
  <c r="L16" i="1"/>
  <c r="M16" i="1" s="1"/>
  <c r="R72" i="1"/>
  <c r="S72" i="1" s="1"/>
  <c r="Q72" i="1"/>
  <c r="K40" i="1"/>
  <c r="L40" i="1"/>
  <c r="M40" i="1" s="1"/>
  <c r="L21" i="1"/>
  <c r="M21" i="1" s="1"/>
  <c r="Q61" i="1"/>
  <c r="R61" i="1"/>
  <c r="S61" i="1" s="1"/>
  <c r="L31" i="1"/>
  <c r="M31" i="1" s="1"/>
  <c r="K31" i="1"/>
  <c r="Q29" i="1"/>
  <c r="R29" i="1"/>
  <c r="S29" i="1" s="1"/>
  <c r="R67" i="1"/>
  <c r="S67" i="1" s="1"/>
  <c r="Q67" i="1"/>
  <c r="Q53" i="1"/>
  <c r="R53" i="1"/>
  <c r="S53" i="1" s="1"/>
  <c r="Q50" i="1"/>
  <c r="R50" i="1"/>
  <c r="S50" i="1" s="1"/>
  <c r="L25" i="1"/>
  <c r="M25" i="1" s="1"/>
  <c r="K25" i="1"/>
  <c r="Q57" i="1"/>
  <c r="R57" i="1"/>
  <c r="S57" i="1" s="1"/>
  <c r="Q63" i="1"/>
  <c r="R63" i="1"/>
  <c r="S63" i="1" s="1"/>
  <c r="R4" i="1"/>
  <c r="S4" i="1" s="1"/>
  <c r="Q4" i="1"/>
  <c r="K3" i="1"/>
  <c r="L3" i="1"/>
  <c r="M3" i="1" s="1"/>
  <c r="K22" i="1"/>
  <c r="L22" i="1"/>
  <c r="M22" i="1" s="1"/>
  <c r="K71" i="1"/>
  <c r="L71" i="1"/>
  <c r="M71" i="1" s="1"/>
  <c r="Q59" i="1"/>
  <c r="R59" i="1"/>
  <c r="S59" i="1" s="1"/>
</calcChain>
</file>

<file path=xl/sharedStrings.xml><?xml version="1.0" encoding="utf-8"?>
<sst xmlns="http://schemas.openxmlformats.org/spreadsheetml/2006/main" count="186" uniqueCount="180">
  <si>
    <t>Name</t>
  </si>
  <si>
    <t>Alustriel's Mooncloak</t>
  </si>
  <si>
    <t>Arcane Lock</t>
  </si>
  <si>
    <t>Astral Projection</t>
  </si>
  <si>
    <t>Augury</t>
  </si>
  <si>
    <t>Awaken</t>
  </si>
  <si>
    <t>Bless</t>
  </si>
  <si>
    <t>Chromatic Orb</t>
  </si>
  <si>
    <t>Circle of Death</t>
  </si>
  <si>
    <t>Clairvoyance</t>
  </si>
  <si>
    <t>Clone</t>
  </si>
  <si>
    <t>Contingency</t>
  </si>
  <si>
    <t>Continual Flame</t>
  </si>
  <si>
    <t>Create Undead</t>
  </si>
  <si>
    <t>Death Armor</t>
  </si>
  <si>
    <t>Deryan's Helpful Homunculi</t>
  </si>
  <si>
    <t>Divination</t>
  </si>
  <si>
    <t>Drawmij's Instant Summons</t>
  </si>
  <si>
    <t>Elminster's Effulgent Spheres</t>
  </si>
  <si>
    <t>Find Familiar</t>
  </si>
  <si>
    <t>Find the Path</t>
  </si>
  <si>
    <t>Forbiddance</t>
  </si>
  <si>
    <t>Forcecage</t>
  </si>
  <si>
    <t>Gate</t>
  </si>
  <si>
    <t>Glyph of Warding</t>
  </si>
  <si>
    <t>Greater Restoration</t>
  </si>
  <si>
    <t>Guards and Wards</t>
  </si>
  <si>
    <t>Hallow</t>
  </si>
  <si>
    <t>Heroes' Feast</t>
  </si>
  <si>
    <t>Holy Aura</t>
  </si>
  <si>
    <t>Homunculus Servant</t>
  </si>
  <si>
    <t>Identify</t>
  </si>
  <si>
    <t>Illusory Script</t>
  </si>
  <si>
    <t>Imprisonment</t>
  </si>
  <si>
    <t>Laeral's Silver Lance</t>
  </si>
  <si>
    <t>Legend Lore</t>
  </si>
  <si>
    <t>Leomund's Secret Chest</t>
  </si>
  <si>
    <t>Magic Circle</t>
  </si>
  <si>
    <t>Magic Jar</t>
  </si>
  <si>
    <t>Magic Mouth</t>
  </si>
  <si>
    <t>Mordenkainen's Magnificent Mansion</t>
  </si>
  <si>
    <t>Mordenkainen's Sword</t>
  </si>
  <si>
    <t>Nondetection</t>
  </si>
  <si>
    <t>Planar Binding</t>
  </si>
  <si>
    <t>Plane Shift</t>
  </si>
  <si>
    <t>Programmed Illusion</t>
  </si>
  <si>
    <t>Project Image</t>
  </si>
  <si>
    <t>Protection from Evil and Good</t>
  </si>
  <si>
    <t>Raise Dead</t>
  </si>
  <si>
    <t>Reincarnate</t>
  </si>
  <si>
    <t>Resurrection</t>
  </si>
  <si>
    <t>Revivify</t>
  </si>
  <si>
    <t>Scrying</t>
  </si>
  <si>
    <t>Sequester</t>
  </si>
  <si>
    <t>Shapechange</t>
  </si>
  <si>
    <t>Simulacrum</t>
  </si>
  <si>
    <t>Songal's Elemental Suffusion</t>
  </si>
  <si>
    <t>Stoneskin</t>
  </si>
  <si>
    <t>Summon Aberration</t>
  </si>
  <si>
    <t>Summon Beast</t>
  </si>
  <si>
    <t>Summon Celestial</t>
  </si>
  <si>
    <t>Summon Construct</t>
  </si>
  <si>
    <t>Summon Dragon</t>
  </si>
  <si>
    <t>Summon Elemental</t>
  </si>
  <si>
    <t>Summon Fey</t>
  </si>
  <si>
    <t>Summon Fiend</t>
  </si>
  <si>
    <t>Summon Undead</t>
  </si>
  <si>
    <t>Swift Quiver</t>
  </si>
  <si>
    <t>Symbol</t>
  </si>
  <si>
    <t>Tasha's Bubbling Cauldron</t>
  </si>
  <si>
    <t>Teleportation Circle</t>
  </si>
  <si>
    <t>True Resurrection</t>
  </si>
  <si>
    <t>True Seeing</t>
  </si>
  <si>
    <t>Warding Bond</t>
  </si>
  <si>
    <t>Level</t>
  </si>
  <si>
    <t>1 day</t>
  </si>
  <si>
    <t>Components</t>
  </si>
  <si>
    <t>V, S, M (a moonstone worth 50+ GP)</t>
  </si>
  <si>
    <t>V, S, M (gold dust worth 25+ GP, which the spell consumes)</t>
  </si>
  <si>
    <t>V, S, M (for each of the spell's targets, one jacinth worth 1,000+ GP and one silver bar worth 100+ GP, all of which the spell consumes)</t>
  </si>
  <si>
    <t>V, S, M (specially marked sticks, bones, cards, or other divinatory tokens worth 25+ GP)</t>
  </si>
  <si>
    <t>V, S, M (an agate worth 1,000+ GP, which the spell consumes)</t>
  </si>
  <si>
    <t>V, S, M (a Holy Symbol worth 5+ GP)</t>
  </si>
  <si>
    <t>V, S, M (a diamond worth 50+ GP)</t>
  </si>
  <si>
    <t>V, S, M (the powder of a crushed black pearl worth 500+ GP)</t>
  </si>
  <si>
    <t>V, S, M (a focus worth 100+ GP, either a jeweled horn for hearing or a glass eye for seeing)</t>
  </si>
  <si>
    <t>V, S, M (a diamond worth 1,000+ GP, which the spell consumes, and a sealable vessel worth 2,000+ GP that is large enough to hold the creature being cloned)</t>
  </si>
  <si>
    <t>V, S, M (a gem-encrusted statuette of yourself worth 1,500+ GP)</t>
  </si>
  <si>
    <t>V, S, M (ruby dust worth 50+ GP, which the spell consumes)</t>
  </si>
  <si>
    <t>V, S, M (one 150+ GP black onyx stone for each corpse)</t>
  </si>
  <si>
    <t>V, S, M (an onyx worth 50+ GP, which the spell consumes)</t>
  </si>
  <si>
    <t>V, S, M (powdered gemstones worth 100+ GP, which the spell consumes, and one set of Artisan's Tools with which you have proficiency)</t>
  </si>
  <si>
    <t>V, S, M (incense worth 25+ GP, which the spell consumes)</t>
  </si>
  <si>
    <t>V, S, M (a sapphire worth 1,000+ GP)</t>
  </si>
  <si>
    <t>V, S, M (an opal worth 1,000 GP+)</t>
  </si>
  <si>
    <t>V, S, M (burning incense worth 10+ GP, which the spell consumes)</t>
  </si>
  <si>
    <t>V, S, M (a set of divination tools—such as cards or runes—worth 100+ GP)</t>
  </si>
  <si>
    <t>V, S, M (ruby dust worth 1,000+ GP)</t>
  </si>
  <si>
    <t>V, S, M (ruby dust worth 1,500+ GP, which the spell consumes)</t>
  </si>
  <si>
    <t>V, S, M (a diamond worth 5,000+ GP)</t>
  </si>
  <si>
    <t>V, S, M (powdered diamond worth 200+ GP, which the spell consumes)</t>
  </si>
  <si>
    <t>V, S, M (diamond dust worth 100+ GP, which the spell consumes)</t>
  </si>
  <si>
    <t>V, S, M (a silver rod worth 10+ GP)</t>
  </si>
  <si>
    <t>V, S, M (incense worth 1,000+ GP, which the spell consumes)</t>
  </si>
  <si>
    <t>V, S, M (a gem-encrusted bowl worth 1,000+ GP, which the spell consumes)</t>
  </si>
  <si>
    <t>V, S, M (a reliquary worth 1,000+ GP)</t>
  </si>
  <si>
    <t>V, S, M (a gem worth 100+ GP)</t>
  </si>
  <si>
    <t>V, S, M (a pearl worth 100+ GP)</t>
  </si>
  <si>
    <t>S, M (ink worth 10+ GP, which the spell consumes)</t>
  </si>
  <si>
    <t>V, S, M (a statuette of the target worth 5,000+ GP)</t>
  </si>
  <si>
    <t>V, S, M (a silver pin worth 250+ GP)</t>
  </si>
  <si>
    <t>V, S, M (incense worth 250+ GP, which the spell consumes, and four ivory strips worth 50+ GP each)</t>
  </si>
  <si>
    <t>V, S, M (a chest, 3 feet by 2 feet by 2 feet, constructed from rare materials worth 5,000+ GP, and a Tiny replica of the chest made from the same materials worth 50+ GP)</t>
  </si>
  <si>
    <t>V, S, M (salt and powdered silver worth 100+ GP, which the spell consumes)</t>
  </si>
  <si>
    <t>V, S, M (a gem, crystal, or reliquary worth 500+ GP)</t>
  </si>
  <si>
    <t>V, S, M (jade dust worth 10+ GP, which the spell consumes)</t>
  </si>
  <si>
    <t>V, S, M (a miniature door worth 15+ GP)</t>
  </si>
  <si>
    <t>V, S, M (a miniature sword worth 250+ GP)</t>
  </si>
  <si>
    <t>V, S, M (a pinch of diamond dust worth 25+ GP, which the spell consumes)</t>
  </si>
  <si>
    <t>V, S, M (a jewel worth 1,000+ GP, which the spell consumes)</t>
  </si>
  <si>
    <t>V, S, M (a forked, metal rod worth 250+ GP and attuned to a plane of existence)</t>
  </si>
  <si>
    <t>V, S, M (jade dust worth 25+ GP)</t>
  </si>
  <si>
    <t>V, S, M (a statuette of yourself worth 5+ GP)</t>
  </si>
  <si>
    <t>V, S, M (a flask of Holy Water worth 25+ GP, which the spell consumes)</t>
  </si>
  <si>
    <t>V, S, M (a diamond worth 500+ GP, which the spell consumes)</t>
  </si>
  <si>
    <t>V, S, M (rare oils worth 1,000+ GP, which the spell consumes)</t>
  </si>
  <si>
    <t>V, S, M (a diamond worth 1,000+ GP, which the spell consumes)</t>
  </si>
  <si>
    <t>V, S, M (a diamond worth 300+ GP, which the spell consumes)</t>
  </si>
  <si>
    <t>V, S, M (a focus worth 1,000+ GP, such as a crystal ball, mirror, or water-filled font)</t>
  </si>
  <si>
    <t>V, S, M (gem dust worth 5,000+ GP, which the spell consumes)</t>
  </si>
  <si>
    <t>V, S, M (a jade circlet worth 1,500+ GP)</t>
  </si>
  <si>
    <t>V, S, M (powdered ruby worth 1,500+ GP, which the spell consumes)</t>
  </si>
  <si>
    <t>V, S, M (a pickled tentacle and an eyeball in a platinum-inlaid vial worth 400+ GP)</t>
  </si>
  <si>
    <t>V, S, M (a feather, tuft of fur, and fish tail inside a gilded acorn worth 200+ GP)</t>
  </si>
  <si>
    <t>V, S, M (a reliquary worth 500+ GP)</t>
  </si>
  <si>
    <t>V, S, M (a lockbox worth 400+ GP)</t>
  </si>
  <si>
    <t>V, S, M (an object with the image of a dragon engraved on it worth 500+ GP)</t>
  </si>
  <si>
    <t>V, S, M (air, a pebble, ash, and water inside a gold-inlaid vial worth 400+ GP)</t>
  </si>
  <si>
    <t>V, S, M (a gilded flower worth 300+ GP)</t>
  </si>
  <si>
    <t>V, S, M (a bloody vial worth 600+ GP)</t>
  </si>
  <si>
    <t>V, S, M (a gilded skull worth 300+ GP)</t>
  </si>
  <si>
    <t>V, S, M (a Quiver worth 1+ GP)</t>
  </si>
  <si>
    <t>V, S, M (powdered diamond worth 1,000+ GP, which the spell consumes)</t>
  </si>
  <si>
    <t>V, S, M (a gilded ladle worth 500 + GP)</t>
  </si>
  <si>
    <t>V, M (rare inks worth 50+ GP, which the spell consumes)</t>
  </si>
  <si>
    <t>V, S, M (diamonds worth 25,000+ GP, which the spell consumes)</t>
  </si>
  <si>
    <t>V, S, M (mushroom powder worth 25+ GP, which the spell consumes)</t>
  </si>
  <si>
    <t>V, S, M (a pair of platinum rings worth 50+ GP each, which you and the target must wear for the duration)</t>
  </si>
  <si>
    <t>Just Scrolls</t>
  </si>
  <si>
    <t>Cost</t>
  </si>
  <si>
    <t>Time</t>
  </si>
  <si>
    <t>Cost 50%</t>
  </si>
  <si>
    <t>Time 50%</t>
  </si>
  <si>
    <t>XGE Time</t>
  </si>
  <si>
    <t>3 days</t>
  </si>
  <si>
    <t>1 workweek</t>
  </si>
  <si>
    <t>2 workweeks</t>
  </si>
  <si>
    <t>4 workweeks</t>
  </si>
  <si>
    <t>8 workweeks</t>
  </si>
  <si>
    <t>16 workweeks</t>
  </si>
  <si>
    <t>48 workweeks</t>
  </si>
  <si>
    <t>32 workweeks</t>
  </si>
  <si>
    <t>Time (days)</t>
  </si>
  <si>
    <t>Scrolls &amp; Consumables</t>
  </si>
  <si>
    <t>Cost Full 50%</t>
  </si>
  <si>
    <t>Time Full 50%</t>
  </si>
  <si>
    <t>Cost Base 50%</t>
  </si>
  <si>
    <t>Time Base 50%</t>
  </si>
  <si>
    <t>Non-Consumable Cost</t>
  </si>
  <si>
    <t>NaN</t>
  </si>
  <si>
    <t>Consumable Cost</t>
  </si>
  <si>
    <t>Scrolls &amp; Consumables &amp; Non-Consumables</t>
  </si>
  <si>
    <t>Cost2</t>
  </si>
  <si>
    <t>Time3</t>
  </si>
  <si>
    <t>Cost Full 50%6</t>
  </si>
  <si>
    <t>Time Full 50%7</t>
  </si>
  <si>
    <t>Cost Base 50%8</t>
  </si>
  <si>
    <t>Time Base 50%9</t>
  </si>
  <si>
    <t>Time2</t>
  </si>
  <si>
    <t>Cost3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</si>
</sst>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2B0F51-07B5-4422-B87C-3DB70DBF423C}" name="Table3" displayName="Table3" ref="A2:U75" totalsRowShown="0">
  <autoFilter ref="A2:U75" xr:uid="{4F2B0F51-07B5-4422-B87C-3DB70DBF423C}"/>
  <sortState xmlns:xlrd2="http://schemas.microsoft.com/office/spreadsheetml/2017/richdata2" ref="A3:U75">
    <sortCondition ref="B2:B75"/>
  </sortState>
  <tableColumns count="21">
    <tableColumn id="1" xr3:uid="{5F286FC3-BC1C-454E-8F4A-8DC42BEEECBA}" name="Name"/>
    <tableColumn id="2" xr3:uid="{A89229DE-8A33-4D31-ABC5-61C361BC139B}" name="Level"/>
    <tableColumn id="3" xr3:uid="{85B7ABEB-F27F-4B40-A630-05FEF27EDC19}" name="Components" dataDxfId="3"/>
    <tableColumn id="4" xr3:uid="{ADA95C41-3A8A-4114-8E3A-75A16C1F8EB4}" name="Consumable Cost"/>
    <tableColumn id="5" xr3:uid="{762BB109-FACD-4C54-AAF4-FC3B6E42E10C}" name="Non-Consumable Cost"/>
    <tableColumn id="6" xr3:uid="{63F0DAF4-EF04-421C-8BD2-89E001032666}" name="Cost" dataDxfId="2">
      <calculatedColumnFormula>VLOOKUP(Table3[[#This Row],[Level]],LookupTables!$A$2:$C$11,3)</calculatedColumnFormula>
    </tableColumn>
    <tableColumn id="7" xr3:uid="{ECC71CB1-7F20-480C-B242-C42EBC28C3C0}" name="Time">
      <calculatedColumnFormula>VLOOKUP(F3,LookupTables!$E$2:$F$18,2)</calculatedColumnFormula>
    </tableColumn>
    <tableColumn id="8" xr3:uid="{59F2B388-BA08-40CA-927E-A00BAA1E6E1F}" name="Cost 50%">
      <calculatedColumnFormula>F3/2</calculatedColumnFormula>
    </tableColumn>
    <tableColumn id="9" xr3:uid="{7DF4109B-A03C-430C-B895-4B175EE3FB48}" name="Time 50%">
      <calculatedColumnFormula>VLOOKUP(H3,LookupTables!$E$2:$F$18,2)</calculatedColumnFormula>
    </tableColumn>
    <tableColumn id="10" xr3:uid="{5892B10C-4DCB-41F5-B0FC-11D32C656413}" name="Cost2" dataDxfId="1">
      <calculatedColumnFormula>F3+D3</calculatedColumnFormula>
    </tableColumn>
    <tableColumn id="11" xr3:uid="{0823276B-1A68-4883-A7B9-5D905CCE9550}" name="Time2">
      <calculatedColumnFormula>VLOOKUP(J3,LookupTables!$E$2:$F$18,2)</calculatedColumnFormula>
    </tableColumn>
    <tableColumn id="12" xr3:uid="{97FEEFB9-6837-4F09-AA32-951B98318D2E}" name="Cost Full 50%">
      <calculatedColumnFormula>J3/2</calculatedColumnFormula>
    </tableColumn>
    <tableColumn id="13" xr3:uid="{C9808C69-5657-4856-8236-0D3ACDC83655}" name="Time Full 50%">
      <calculatedColumnFormula>VLOOKUP(L3,LookupTables!$E$2:$F$18,2)</calculatedColumnFormula>
    </tableColumn>
    <tableColumn id="14" xr3:uid="{AA72F007-8D19-4335-A215-0EC8B40963E9}" name="Cost Base 50%">
      <calculatedColumnFormula>F3/2+D3</calculatedColumnFormula>
    </tableColumn>
    <tableColumn id="15" xr3:uid="{E3014532-18B2-4A87-8462-846199E14AA4}" name="Time Base 50%">
      <calculatedColumnFormula>VLOOKUP(N3,LookupTables!$E$2:$F$18,2)</calculatedColumnFormula>
    </tableColumn>
    <tableColumn id="16" xr3:uid="{4807FE2B-5FD9-48A9-84B3-B9E2AC68546B}" name="Cost3" dataDxfId="0">
      <calculatedColumnFormula>F3+E3+D3</calculatedColumnFormula>
    </tableColumn>
    <tableColumn id="17" xr3:uid="{6A5A75C7-5428-45E9-BF4B-8ED505B086F0}" name="Time3">
      <calculatedColumnFormula>VLOOKUP(P3,LookupTables!$E$2:$F$18,2)</calculatedColumnFormula>
    </tableColumn>
    <tableColumn id="18" xr3:uid="{3695E0A5-A934-4C61-B4E8-0EDD6B04A86D}" name="Cost Full 50%6">
      <calculatedColumnFormula>P3/2</calculatedColumnFormula>
    </tableColumn>
    <tableColumn id="19" xr3:uid="{4B715BC9-BEBF-4EB8-A1AA-7F23909C897B}" name="Time Full 50%7">
      <calculatedColumnFormula>VLOOKUP(R3,LookupTables!$E$2:$F$18,2)</calculatedColumnFormula>
    </tableColumn>
    <tableColumn id="20" xr3:uid="{B78363CB-FCCA-4191-9B3A-D2CBBF8E5834}" name="Cost Base 50%8">
      <calculatedColumnFormula>F3/2+E3+D3</calculatedColumnFormula>
    </tableColumn>
    <tableColumn id="21" xr3:uid="{B82416C8-7D09-4DC0-9DAD-710F80D14A94}" name="Time Base 50%9">
      <calculatedColumnFormula>VLOOKUP(T3,LookupTables!$E$2:$F$18,2)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F3B21-F37D-4A0A-ADE3-2FA3FB2B3DCC}" name="Table1" displayName="Table1" ref="A1:C11" totalsRowShown="0">
  <autoFilter ref="A1:C11" xr:uid="{FB6F3B21-F37D-4A0A-ADE3-2FA3FB2B3DCC}"/>
  <tableColumns count="3">
    <tableColumn id="1" xr3:uid="{D1825D44-4BE6-47CA-B967-A0B99CCA6393}" name="Level"/>
    <tableColumn id="2" xr3:uid="{17A22919-7522-4909-9531-07D4968E9BCC}" name="XGE Time"/>
    <tableColumn id="3" xr3:uid="{9970E6CF-1721-4406-9C90-E5F2BB1EB91C}" name="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8F6705-9524-46C8-803B-E76F51E8AC43}" name="Table2" displayName="Table2" ref="E1:F18" totalsRowShown="0">
  <autoFilter ref="E1:F18" xr:uid="{2E8F6705-9524-46C8-803B-E76F51E8AC43}"/>
  <tableColumns count="2">
    <tableColumn id="1" xr3:uid="{033FEED7-05EB-4E3C-9E7D-6F12B8547EDA}" name="Cost"/>
    <tableColumn id="2" xr3:uid="{1C46778A-B607-477A-9ABC-44CFA1442048}" name="Time (day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412F-46E9-4341-9DF5-43D2F715B07B}">
  <dimension ref="A1:U75"/>
  <sheetViews>
    <sheetView tabSelected="1" topLeftCell="D1" workbookViewId="0">
      <selection activeCell="N2" sqref="N2"/>
    </sheetView>
  </sheetViews>
  <sheetFormatPr defaultRowHeight="12.75" x14ac:dyDescent="0.2"/>
  <cols>
    <col min="1" max="1" width="32.140625" bestFit="1" customWidth="1"/>
    <col min="2" max="2" width="8.140625" customWidth="1"/>
    <col min="3" max="3" width="68.28515625" customWidth="1"/>
    <col min="4" max="4" width="19.140625" bestFit="1" customWidth="1"/>
    <col min="5" max="5" width="23.42578125" bestFit="1" customWidth="1"/>
    <col min="6" max="6" width="7.140625" style="1" bestFit="1" customWidth="1"/>
    <col min="7" max="7" width="7.85546875" bestFit="1" customWidth="1"/>
    <col min="8" max="8" width="11.140625" bestFit="1" customWidth="1"/>
    <col min="9" max="9" width="11.85546875" bestFit="1" customWidth="1"/>
    <col min="10" max="10" width="8.140625" style="1" bestFit="1" customWidth="1"/>
    <col min="11" max="11" width="8.85546875" bestFit="1" customWidth="1"/>
    <col min="12" max="12" width="15.140625" bestFit="1" customWidth="1"/>
    <col min="13" max="13" width="16" bestFit="1" customWidth="1"/>
    <col min="14" max="14" width="16.28515625" bestFit="1" customWidth="1"/>
    <col min="15" max="15" width="17" bestFit="1" customWidth="1"/>
    <col min="16" max="16" width="8.5703125" style="1" bestFit="1" customWidth="1"/>
    <col min="17" max="17" width="8.85546875" bestFit="1" customWidth="1"/>
    <col min="18" max="18" width="14.7109375" customWidth="1"/>
    <col min="19" max="19" width="17" bestFit="1" customWidth="1"/>
    <col min="20" max="20" width="15.7109375" customWidth="1"/>
    <col min="21" max="21" width="16.42578125" customWidth="1"/>
  </cols>
  <sheetData>
    <row r="1" spans="1:21" x14ac:dyDescent="0.2">
      <c r="F1" s="3" t="s">
        <v>148</v>
      </c>
      <c r="G1" s="3"/>
      <c r="H1" s="3"/>
      <c r="I1" s="3"/>
      <c r="J1" s="3" t="s">
        <v>163</v>
      </c>
      <c r="K1" s="3"/>
      <c r="L1" s="3"/>
      <c r="M1" s="3"/>
      <c r="N1" s="3"/>
      <c r="O1" s="3"/>
      <c r="P1" s="3" t="s">
        <v>171</v>
      </c>
      <c r="Q1" s="3"/>
      <c r="R1" s="3"/>
      <c r="S1" s="3"/>
      <c r="T1" s="3"/>
      <c r="U1" s="3"/>
    </row>
    <row r="2" spans="1:21" x14ac:dyDescent="0.2">
      <c r="A2" t="s">
        <v>0</v>
      </c>
      <c r="B2" t="s">
        <v>74</v>
      </c>
      <c r="C2" t="s">
        <v>76</v>
      </c>
      <c r="D2" s="2" t="s">
        <v>170</v>
      </c>
      <c r="E2" s="2" t="s">
        <v>168</v>
      </c>
      <c r="F2" s="1" t="s">
        <v>149</v>
      </c>
      <c r="G2" t="s">
        <v>150</v>
      </c>
      <c r="H2" t="s">
        <v>151</v>
      </c>
      <c r="I2" t="s">
        <v>152</v>
      </c>
      <c r="J2" s="1" t="s">
        <v>172</v>
      </c>
      <c r="K2" t="s">
        <v>178</v>
      </c>
      <c r="L2" t="s">
        <v>164</v>
      </c>
      <c r="M2" t="s">
        <v>165</v>
      </c>
      <c r="N2" t="s">
        <v>166</v>
      </c>
      <c r="O2" t="s">
        <v>167</v>
      </c>
      <c r="P2" s="1" t="s">
        <v>179</v>
      </c>
      <c r="Q2" t="s">
        <v>173</v>
      </c>
      <c r="R2" t="s">
        <v>174</v>
      </c>
      <c r="S2" t="s">
        <v>175</v>
      </c>
      <c r="T2" t="s">
        <v>176</v>
      </c>
      <c r="U2" t="s">
        <v>177</v>
      </c>
    </row>
    <row r="3" spans="1:21" x14ac:dyDescent="0.2">
      <c r="A3" t="s">
        <v>6</v>
      </c>
      <c r="B3">
        <v>1</v>
      </c>
      <c r="C3" s="2" t="s">
        <v>82</v>
      </c>
      <c r="D3">
        <v>0</v>
      </c>
      <c r="E3">
        <v>5</v>
      </c>
      <c r="F3" s="1">
        <f>VLOOKUP(Table3[[#This Row],[Level]],LookupTables!$A$2:$C$11,3)</f>
        <v>25</v>
      </c>
      <c r="G3">
        <f>VLOOKUP(F3,LookupTables!$E$2:$F$18,2)</f>
        <v>0</v>
      </c>
      <c r="H3">
        <f t="shared" ref="H3:H34" si="0">F3/2</f>
        <v>12.5</v>
      </c>
      <c r="I3">
        <f>VLOOKUP(H3,LookupTables!$E$2:$F$18,2)</f>
        <v>0</v>
      </c>
      <c r="J3" s="1">
        <f t="shared" ref="J3:J34" si="1">F3+D3</f>
        <v>25</v>
      </c>
      <c r="K3">
        <f>VLOOKUP(J3,LookupTables!$E$2:$F$18,2)</f>
        <v>0</v>
      </c>
      <c r="L3">
        <f t="shared" ref="L3:L34" si="2">J3/2</f>
        <v>12.5</v>
      </c>
      <c r="M3">
        <f>VLOOKUP(L3,LookupTables!$E$2:$F$18,2)</f>
        <v>0</v>
      </c>
      <c r="N3">
        <f t="shared" ref="N3:N34" si="3">F3/2+D3</f>
        <v>12.5</v>
      </c>
      <c r="O3">
        <f>VLOOKUP(N3,LookupTables!$E$2:$F$18,2)</f>
        <v>0</v>
      </c>
      <c r="P3" s="1">
        <f t="shared" ref="P3:P34" si="4">F3+E3+D3</f>
        <v>30</v>
      </c>
      <c r="Q3">
        <f>VLOOKUP(P3,LookupTables!$E$2:$F$18,2)</f>
        <v>0</v>
      </c>
      <c r="R3">
        <f t="shared" ref="R3:R34" si="5">P3/2</f>
        <v>15</v>
      </c>
      <c r="S3">
        <f>VLOOKUP(R3,LookupTables!$E$2:$F$18,2)</f>
        <v>0</v>
      </c>
      <c r="T3">
        <f t="shared" ref="T3:T34" si="6">F3/2+E3+D3</f>
        <v>17.5</v>
      </c>
      <c r="U3">
        <f>VLOOKUP(T3,LookupTables!$E$2:$F$18,2)</f>
        <v>0</v>
      </c>
    </row>
    <row r="4" spans="1:21" x14ac:dyDescent="0.2">
      <c r="A4" t="s">
        <v>7</v>
      </c>
      <c r="B4">
        <v>1</v>
      </c>
      <c r="C4" s="2" t="s">
        <v>83</v>
      </c>
      <c r="D4">
        <v>0</v>
      </c>
      <c r="E4">
        <v>50</v>
      </c>
      <c r="F4" s="1">
        <f>VLOOKUP(Table3[[#This Row],[Level]],LookupTables!$A$2:$C$11,3)</f>
        <v>25</v>
      </c>
      <c r="G4">
        <f>VLOOKUP(F4,LookupTables!$E$2:$F$18,2)</f>
        <v>0</v>
      </c>
      <c r="H4">
        <f t="shared" si="0"/>
        <v>12.5</v>
      </c>
      <c r="I4">
        <f>VLOOKUP(H4,LookupTables!$E$2:$F$18,2)</f>
        <v>0</v>
      </c>
      <c r="J4" s="1">
        <f t="shared" si="1"/>
        <v>25</v>
      </c>
      <c r="K4">
        <f>VLOOKUP(J4,LookupTables!$E$2:$F$18,2)</f>
        <v>0</v>
      </c>
      <c r="L4">
        <f t="shared" si="2"/>
        <v>12.5</v>
      </c>
      <c r="M4">
        <f>VLOOKUP(L4,LookupTables!$E$2:$F$18,2)</f>
        <v>0</v>
      </c>
      <c r="N4">
        <f t="shared" si="3"/>
        <v>12.5</v>
      </c>
      <c r="O4">
        <f>VLOOKUP(N4,LookupTables!$E$2:$F$18,2)</f>
        <v>0</v>
      </c>
      <c r="P4" s="1">
        <f t="shared" si="4"/>
        <v>75</v>
      </c>
      <c r="Q4">
        <f>VLOOKUP(P4,LookupTables!$E$2:$F$18,2)</f>
        <v>1</v>
      </c>
      <c r="R4">
        <f t="shared" si="5"/>
        <v>37.5</v>
      </c>
      <c r="S4">
        <f>VLOOKUP(R4,LookupTables!$E$2:$F$18,2)</f>
        <v>0</v>
      </c>
      <c r="T4">
        <f t="shared" si="6"/>
        <v>62.5</v>
      </c>
      <c r="U4">
        <f>VLOOKUP(T4,LookupTables!$E$2:$F$18,2)</f>
        <v>1</v>
      </c>
    </row>
    <row r="5" spans="1:21" x14ac:dyDescent="0.2">
      <c r="A5" t="s">
        <v>19</v>
      </c>
      <c r="B5">
        <v>1</v>
      </c>
      <c r="C5" s="2" t="s">
        <v>95</v>
      </c>
      <c r="D5">
        <v>10</v>
      </c>
      <c r="E5">
        <v>0</v>
      </c>
      <c r="F5" s="1">
        <f>VLOOKUP(Table3[[#This Row],[Level]],LookupTables!$A$2:$C$11,3)</f>
        <v>25</v>
      </c>
      <c r="G5">
        <f>VLOOKUP(F5,LookupTables!$E$2:$F$18,2)</f>
        <v>0</v>
      </c>
      <c r="H5">
        <f t="shared" si="0"/>
        <v>12.5</v>
      </c>
      <c r="I5">
        <f>VLOOKUP(H5,LookupTables!$E$2:$F$18,2)</f>
        <v>0</v>
      </c>
      <c r="J5" s="1">
        <f t="shared" si="1"/>
        <v>35</v>
      </c>
      <c r="K5">
        <f>VLOOKUP(J5,LookupTables!$E$2:$F$18,2)</f>
        <v>0</v>
      </c>
      <c r="L5">
        <f t="shared" si="2"/>
        <v>17.5</v>
      </c>
      <c r="M5">
        <f>VLOOKUP(L5,LookupTables!$E$2:$F$18,2)</f>
        <v>0</v>
      </c>
      <c r="N5">
        <f t="shared" si="3"/>
        <v>22.5</v>
      </c>
      <c r="O5">
        <f>VLOOKUP(N5,LookupTables!$E$2:$F$18,2)</f>
        <v>0</v>
      </c>
      <c r="P5" s="1">
        <f t="shared" si="4"/>
        <v>35</v>
      </c>
      <c r="Q5">
        <f>VLOOKUP(P5,LookupTables!$E$2:$F$18,2)</f>
        <v>0</v>
      </c>
      <c r="R5">
        <f t="shared" si="5"/>
        <v>17.5</v>
      </c>
      <c r="S5">
        <f>VLOOKUP(R5,LookupTables!$E$2:$F$18,2)</f>
        <v>0</v>
      </c>
      <c r="T5">
        <f t="shared" si="6"/>
        <v>22.5</v>
      </c>
      <c r="U5">
        <f>VLOOKUP(T5,LookupTables!$E$2:$F$18,2)</f>
        <v>0</v>
      </c>
    </row>
    <row r="6" spans="1:21" x14ac:dyDescent="0.2">
      <c r="A6" t="s">
        <v>31</v>
      </c>
      <c r="B6">
        <v>1</v>
      </c>
      <c r="C6" s="2" t="s">
        <v>107</v>
      </c>
      <c r="D6">
        <v>0</v>
      </c>
      <c r="E6">
        <v>100</v>
      </c>
      <c r="F6" s="1">
        <f>VLOOKUP(Table3[[#This Row],[Level]],LookupTables!$A$2:$C$11,3)</f>
        <v>25</v>
      </c>
      <c r="G6">
        <f>VLOOKUP(F6,LookupTables!$E$2:$F$18,2)</f>
        <v>0</v>
      </c>
      <c r="H6">
        <f t="shared" si="0"/>
        <v>12.5</v>
      </c>
      <c r="I6">
        <f>VLOOKUP(H6,LookupTables!$E$2:$F$18,2)</f>
        <v>0</v>
      </c>
      <c r="J6" s="1">
        <f t="shared" si="1"/>
        <v>25</v>
      </c>
      <c r="K6">
        <f>VLOOKUP(J6,LookupTables!$E$2:$F$18,2)</f>
        <v>0</v>
      </c>
      <c r="L6">
        <f t="shared" si="2"/>
        <v>12.5</v>
      </c>
      <c r="M6">
        <f>VLOOKUP(L6,LookupTables!$E$2:$F$18,2)</f>
        <v>0</v>
      </c>
      <c r="N6">
        <f t="shared" si="3"/>
        <v>12.5</v>
      </c>
      <c r="O6">
        <f>VLOOKUP(N6,LookupTables!$E$2:$F$18,2)</f>
        <v>0</v>
      </c>
      <c r="P6" s="1">
        <f t="shared" si="4"/>
        <v>125</v>
      </c>
      <c r="Q6">
        <f>VLOOKUP(P6,LookupTables!$E$2:$F$18,2)</f>
        <v>1</v>
      </c>
      <c r="R6">
        <f t="shared" si="5"/>
        <v>62.5</v>
      </c>
      <c r="S6">
        <f>VLOOKUP(R6,LookupTables!$E$2:$F$18,2)</f>
        <v>1</v>
      </c>
      <c r="T6">
        <f t="shared" si="6"/>
        <v>112.5</v>
      </c>
      <c r="U6">
        <f>VLOOKUP(T6,LookupTables!$E$2:$F$18,2)</f>
        <v>1</v>
      </c>
    </row>
    <row r="7" spans="1:21" x14ac:dyDescent="0.2">
      <c r="A7" t="s">
        <v>32</v>
      </c>
      <c r="B7">
        <v>1</v>
      </c>
      <c r="C7" s="2" t="s">
        <v>108</v>
      </c>
      <c r="D7">
        <v>10</v>
      </c>
      <c r="E7">
        <v>0</v>
      </c>
      <c r="F7" s="1">
        <f>VLOOKUP(Table3[[#This Row],[Level]],LookupTables!$A$2:$C$11,3)</f>
        <v>25</v>
      </c>
      <c r="G7">
        <f>VLOOKUP(F7,LookupTables!$E$2:$F$18,2)</f>
        <v>0</v>
      </c>
      <c r="H7">
        <f t="shared" si="0"/>
        <v>12.5</v>
      </c>
      <c r="I7">
        <f>VLOOKUP(H7,LookupTables!$E$2:$F$18,2)</f>
        <v>0</v>
      </c>
      <c r="J7" s="1">
        <f t="shared" si="1"/>
        <v>35</v>
      </c>
      <c r="K7">
        <f>VLOOKUP(J7,LookupTables!$E$2:$F$18,2)</f>
        <v>0</v>
      </c>
      <c r="L7">
        <f t="shared" si="2"/>
        <v>17.5</v>
      </c>
      <c r="M7">
        <f>VLOOKUP(L7,LookupTables!$E$2:$F$18,2)</f>
        <v>0</v>
      </c>
      <c r="N7">
        <f t="shared" si="3"/>
        <v>22.5</v>
      </c>
      <c r="O7">
        <f>VLOOKUP(N7,LookupTables!$E$2:$F$18,2)</f>
        <v>0</v>
      </c>
      <c r="P7" s="1">
        <f t="shared" si="4"/>
        <v>35</v>
      </c>
      <c r="Q7">
        <f>VLOOKUP(P7,LookupTables!$E$2:$F$18,2)</f>
        <v>0</v>
      </c>
      <c r="R7">
        <f t="shared" si="5"/>
        <v>17.5</v>
      </c>
      <c r="S7">
        <f>VLOOKUP(R7,LookupTables!$E$2:$F$18,2)</f>
        <v>0</v>
      </c>
      <c r="T7">
        <f t="shared" si="6"/>
        <v>22.5</v>
      </c>
      <c r="U7">
        <f>VLOOKUP(T7,LookupTables!$E$2:$F$18,2)</f>
        <v>0</v>
      </c>
    </row>
    <row r="8" spans="1:21" x14ac:dyDescent="0.2">
      <c r="A8" t="s">
        <v>47</v>
      </c>
      <c r="B8">
        <v>1</v>
      </c>
      <c r="C8" s="2" t="s">
        <v>123</v>
      </c>
      <c r="D8">
        <v>25</v>
      </c>
      <c r="E8">
        <v>0</v>
      </c>
      <c r="F8" s="1">
        <f>VLOOKUP(Table3[[#This Row],[Level]],LookupTables!$A$2:$C$11,3)</f>
        <v>25</v>
      </c>
      <c r="G8">
        <f>VLOOKUP(F8,LookupTables!$E$2:$F$18,2)</f>
        <v>0</v>
      </c>
      <c r="H8">
        <f t="shared" si="0"/>
        <v>12.5</v>
      </c>
      <c r="I8">
        <f>VLOOKUP(H8,LookupTables!$E$2:$F$18,2)</f>
        <v>0</v>
      </c>
      <c r="J8" s="1">
        <f t="shared" si="1"/>
        <v>50</v>
      </c>
      <c r="K8">
        <f>VLOOKUP(J8,LookupTables!$E$2:$F$18,2)</f>
        <v>1</v>
      </c>
      <c r="L8">
        <f t="shared" si="2"/>
        <v>25</v>
      </c>
      <c r="M8">
        <f>VLOOKUP(L8,LookupTables!$E$2:$F$18,2)</f>
        <v>0</v>
      </c>
      <c r="N8">
        <f t="shared" si="3"/>
        <v>37.5</v>
      </c>
      <c r="O8">
        <f>VLOOKUP(N8,LookupTables!$E$2:$F$18,2)</f>
        <v>0</v>
      </c>
      <c r="P8" s="1">
        <f t="shared" si="4"/>
        <v>50</v>
      </c>
      <c r="Q8">
        <f>VLOOKUP(P8,LookupTables!$E$2:$F$18,2)</f>
        <v>1</v>
      </c>
      <c r="R8">
        <f t="shared" si="5"/>
        <v>25</v>
      </c>
      <c r="S8">
        <f>VLOOKUP(R8,LookupTables!$E$2:$F$18,2)</f>
        <v>0</v>
      </c>
      <c r="T8">
        <f t="shared" si="6"/>
        <v>37.5</v>
      </c>
      <c r="U8">
        <f>VLOOKUP(T8,LookupTables!$E$2:$F$18,2)</f>
        <v>0</v>
      </c>
    </row>
    <row r="9" spans="1:21" x14ac:dyDescent="0.2">
      <c r="A9" t="s">
        <v>2</v>
      </c>
      <c r="B9">
        <v>2</v>
      </c>
      <c r="C9" s="2" t="s">
        <v>78</v>
      </c>
      <c r="D9">
        <v>25</v>
      </c>
      <c r="E9">
        <v>0</v>
      </c>
      <c r="F9" s="1">
        <f>VLOOKUP(Table3[[#This Row],[Level]],LookupTables!$A$2:$C$11,3)</f>
        <v>250</v>
      </c>
      <c r="G9">
        <f>VLOOKUP(F9,LookupTables!$E$2:$F$18,2)</f>
        <v>3</v>
      </c>
      <c r="H9">
        <f t="shared" si="0"/>
        <v>125</v>
      </c>
      <c r="I9">
        <f>VLOOKUP(H9,LookupTables!$E$2:$F$18,2)</f>
        <v>1</v>
      </c>
      <c r="J9" s="1">
        <f t="shared" si="1"/>
        <v>275</v>
      </c>
      <c r="K9">
        <f>VLOOKUP(J9,LookupTables!$E$2:$F$18,2)</f>
        <v>3</v>
      </c>
      <c r="L9">
        <f t="shared" si="2"/>
        <v>137.5</v>
      </c>
      <c r="M9">
        <f>VLOOKUP(L9,LookupTables!$E$2:$F$18,2)</f>
        <v>1</v>
      </c>
      <c r="N9">
        <f t="shared" si="3"/>
        <v>150</v>
      </c>
      <c r="O9">
        <f>VLOOKUP(N9,LookupTables!$E$2:$F$18,2)</f>
        <v>3</v>
      </c>
      <c r="P9" s="1">
        <f t="shared" si="4"/>
        <v>275</v>
      </c>
      <c r="Q9">
        <f>VLOOKUP(P9,LookupTables!$E$2:$F$18,2)</f>
        <v>3</v>
      </c>
      <c r="R9">
        <f t="shared" si="5"/>
        <v>137.5</v>
      </c>
      <c r="S9">
        <f>VLOOKUP(R9,LookupTables!$E$2:$F$18,2)</f>
        <v>1</v>
      </c>
      <c r="T9">
        <f t="shared" si="6"/>
        <v>150</v>
      </c>
      <c r="U9">
        <f>VLOOKUP(T9,LookupTables!$E$2:$F$18,2)</f>
        <v>3</v>
      </c>
    </row>
    <row r="10" spans="1:21" ht="25.5" x14ac:dyDescent="0.2">
      <c r="A10" t="s">
        <v>4</v>
      </c>
      <c r="B10">
        <v>2</v>
      </c>
      <c r="C10" s="2" t="s">
        <v>80</v>
      </c>
      <c r="D10">
        <v>0</v>
      </c>
      <c r="E10">
        <v>25</v>
      </c>
      <c r="F10" s="1">
        <f>VLOOKUP(Table3[[#This Row],[Level]],LookupTables!$A$2:$C$11,3)</f>
        <v>250</v>
      </c>
      <c r="G10">
        <f>VLOOKUP(F10,LookupTables!$E$2:$F$18,2)</f>
        <v>3</v>
      </c>
      <c r="H10">
        <f t="shared" si="0"/>
        <v>125</v>
      </c>
      <c r="I10">
        <f>VLOOKUP(H10,LookupTables!$E$2:$F$18,2)</f>
        <v>1</v>
      </c>
      <c r="J10" s="1">
        <f t="shared" si="1"/>
        <v>250</v>
      </c>
      <c r="K10">
        <f>VLOOKUP(J10,LookupTables!$E$2:$F$18,2)</f>
        <v>3</v>
      </c>
      <c r="L10">
        <f t="shared" si="2"/>
        <v>125</v>
      </c>
      <c r="M10">
        <f>VLOOKUP(L10,LookupTables!$E$2:$F$18,2)</f>
        <v>1</v>
      </c>
      <c r="N10">
        <f t="shared" si="3"/>
        <v>125</v>
      </c>
      <c r="O10">
        <f>VLOOKUP(N10,LookupTables!$E$2:$F$18,2)</f>
        <v>1</v>
      </c>
      <c r="P10" s="1">
        <f t="shared" si="4"/>
        <v>275</v>
      </c>
      <c r="Q10">
        <f>VLOOKUP(P10,LookupTables!$E$2:$F$18,2)</f>
        <v>3</v>
      </c>
      <c r="R10">
        <f t="shared" si="5"/>
        <v>137.5</v>
      </c>
      <c r="S10">
        <f>VLOOKUP(R10,LookupTables!$E$2:$F$18,2)</f>
        <v>1</v>
      </c>
      <c r="T10">
        <f t="shared" si="6"/>
        <v>150</v>
      </c>
      <c r="U10">
        <f>VLOOKUP(T10,LookupTables!$E$2:$F$18,2)</f>
        <v>3</v>
      </c>
    </row>
    <row r="11" spans="1:21" x14ac:dyDescent="0.2">
      <c r="A11" t="s">
        <v>12</v>
      </c>
      <c r="B11">
        <v>2</v>
      </c>
      <c r="C11" s="2" t="s">
        <v>88</v>
      </c>
      <c r="D11">
        <v>50</v>
      </c>
      <c r="E11">
        <v>0</v>
      </c>
      <c r="F11" s="1">
        <f>VLOOKUP(Table3[[#This Row],[Level]],LookupTables!$A$2:$C$11,3)</f>
        <v>250</v>
      </c>
      <c r="G11">
        <f>VLOOKUP(F11,LookupTables!$E$2:$F$18,2)</f>
        <v>3</v>
      </c>
      <c r="H11">
        <f t="shared" si="0"/>
        <v>125</v>
      </c>
      <c r="I11">
        <f>VLOOKUP(H11,LookupTables!$E$2:$F$18,2)</f>
        <v>1</v>
      </c>
      <c r="J11" s="1">
        <f t="shared" si="1"/>
        <v>300</v>
      </c>
      <c r="K11">
        <f>VLOOKUP(J11,LookupTables!$E$2:$F$18,2)</f>
        <v>5</v>
      </c>
      <c r="L11">
        <f t="shared" si="2"/>
        <v>150</v>
      </c>
      <c r="M11">
        <f>VLOOKUP(L11,LookupTables!$E$2:$F$18,2)</f>
        <v>3</v>
      </c>
      <c r="N11">
        <f t="shared" si="3"/>
        <v>175</v>
      </c>
      <c r="O11">
        <f>VLOOKUP(N11,LookupTables!$E$2:$F$18,2)</f>
        <v>3</v>
      </c>
      <c r="P11" s="1">
        <f t="shared" si="4"/>
        <v>300</v>
      </c>
      <c r="Q11">
        <f>VLOOKUP(P11,LookupTables!$E$2:$F$18,2)</f>
        <v>5</v>
      </c>
      <c r="R11">
        <f t="shared" si="5"/>
        <v>150</v>
      </c>
      <c r="S11">
        <f>VLOOKUP(R11,LookupTables!$E$2:$F$18,2)</f>
        <v>3</v>
      </c>
      <c r="T11">
        <f t="shared" si="6"/>
        <v>175</v>
      </c>
      <c r="U11">
        <f>VLOOKUP(T11,LookupTables!$E$2:$F$18,2)</f>
        <v>3</v>
      </c>
    </row>
    <row r="12" spans="1:21" x14ac:dyDescent="0.2">
      <c r="A12" t="s">
        <v>14</v>
      </c>
      <c r="B12">
        <v>2</v>
      </c>
      <c r="C12" s="2" t="s">
        <v>90</v>
      </c>
      <c r="D12">
        <v>50</v>
      </c>
      <c r="E12">
        <v>0</v>
      </c>
      <c r="F12" s="1">
        <f>VLOOKUP(Table3[[#This Row],[Level]],LookupTables!$A$2:$C$11,3)</f>
        <v>250</v>
      </c>
      <c r="G12">
        <f>VLOOKUP(F12,LookupTables!$E$2:$F$18,2)</f>
        <v>3</v>
      </c>
      <c r="H12">
        <f t="shared" si="0"/>
        <v>125</v>
      </c>
      <c r="I12">
        <f>VLOOKUP(H12,LookupTables!$E$2:$F$18,2)</f>
        <v>1</v>
      </c>
      <c r="J12" s="1">
        <f t="shared" si="1"/>
        <v>300</v>
      </c>
      <c r="K12">
        <f>VLOOKUP(J12,LookupTables!$E$2:$F$18,2)</f>
        <v>5</v>
      </c>
      <c r="L12">
        <f t="shared" si="2"/>
        <v>150</v>
      </c>
      <c r="M12">
        <f>VLOOKUP(L12,LookupTables!$E$2:$F$18,2)</f>
        <v>3</v>
      </c>
      <c r="N12">
        <f t="shared" si="3"/>
        <v>175</v>
      </c>
      <c r="O12">
        <f>VLOOKUP(N12,LookupTables!$E$2:$F$18,2)</f>
        <v>3</v>
      </c>
      <c r="P12" s="1">
        <f t="shared" si="4"/>
        <v>300</v>
      </c>
      <c r="Q12">
        <f>VLOOKUP(P12,LookupTables!$E$2:$F$18,2)</f>
        <v>5</v>
      </c>
      <c r="R12">
        <f t="shared" si="5"/>
        <v>150</v>
      </c>
      <c r="S12">
        <f>VLOOKUP(R12,LookupTables!$E$2:$F$18,2)</f>
        <v>3</v>
      </c>
      <c r="T12">
        <f t="shared" si="6"/>
        <v>175</v>
      </c>
      <c r="U12">
        <f>VLOOKUP(T12,LookupTables!$E$2:$F$18,2)</f>
        <v>3</v>
      </c>
    </row>
    <row r="13" spans="1:21" ht="25.5" x14ac:dyDescent="0.2">
      <c r="A13" t="s">
        <v>15</v>
      </c>
      <c r="B13">
        <v>2</v>
      </c>
      <c r="C13" s="2" t="s">
        <v>91</v>
      </c>
      <c r="D13">
        <v>100</v>
      </c>
      <c r="E13" t="s">
        <v>169</v>
      </c>
      <c r="F13" s="1">
        <f>VLOOKUP(Table3[[#This Row],[Level]],LookupTables!$A$2:$C$11,3)</f>
        <v>250</v>
      </c>
      <c r="G13">
        <f>VLOOKUP(F13,LookupTables!$E$2:$F$18,2)</f>
        <v>3</v>
      </c>
      <c r="H13">
        <f t="shared" si="0"/>
        <v>125</v>
      </c>
      <c r="I13">
        <f>VLOOKUP(H13,LookupTables!$E$2:$F$18,2)</f>
        <v>1</v>
      </c>
      <c r="J13" s="1">
        <f t="shared" si="1"/>
        <v>350</v>
      </c>
      <c r="K13">
        <f>VLOOKUP(J13,LookupTables!$E$2:$F$18,2)</f>
        <v>5</v>
      </c>
      <c r="L13">
        <f t="shared" si="2"/>
        <v>175</v>
      </c>
      <c r="M13">
        <f>VLOOKUP(L13,LookupTables!$E$2:$F$18,2)</f>
        <v>3</v>
      </c>
      <c r="N13">
        <f t="shared" si="3"/>
        <v>225</v>
      </c>
      <c r="O13">
        <f>VLOOKUP(N13,LookupTables!$E$2:$F$18,2)</f>
        <v>3</v>
      </c>
      <c r="P13" s="1" t="e">
        <f t="shared" si="4"/>
        <v>#VALUE!</v>
      </c>
      <c r="Q13" t="e">
        <f>VLOOKUP(P13,LookupTables!$E$2:$F$18,2)</f>
        <v>#VALUE!</v>
      </c>
      <c r="R13" t="e">
        <f t="shared" si="5"/>
        <v>#VALUE!</v>
      </c>
      <c r="S13" t="e">
        <f>VLOOKUP(R13,LookupTables!$E$2:$F$18,2)</f>
        <v>#VALUE!</v>
      </c>
      <c r="T13" t="e">
        <f t="shared" si="6"/>
        <v>#VALUE!</v>
      </c>
      <c r="U13" t="e">
        <f>VLOOKUP(T13,LookupTables!$E$2:$F$18,2)</f>
        <v>#VALUE!</v>
      </c>
    </row>
    <row r="14" spans="1:21" x14ac:dyDescent="0.2">
      <c r="A14" t="s">
        <v>30</v>
      </c>
      <c r="B14">
        <v>2</v>
      </c>
      <c r="C14" s="2" t="s">
        <v>106</v>
      </c>
      <c r="D14">
        <v>0</v>
      </c>
      <c r="E14">
        <v>100</v>
      </c>
      <c r="F14" s="1">
        <f>VLOOKUP(Table3[[#This Row],[Level]],LookupTables!$A$2:$C$11,3)</f>
        <v>250</v>
      </c>
      <c r="G14">
        <f>VLOOKUP(F14,LookupTables!$E$2:$F$18,2)</f>
        <v>3</v>
      </c>
      <c r="H14">
        <f t="shared" si="0"/>
        <v>125</v>
      </c>
      <c r="I14">
        <f>VLOOKUP(H14,LookupTables!$E$2:$F$18,2)</f>
        <v>1</v>
      </c>
      <c r="J14" s="1">
        <f t="shared" si="1"/>
        <v>250</v>
      </c>
      <c r="K14">
        <f>VLOOKUP(J14,LookupTables!$E$2:$F$18,2)</f>
        <v>3</v>
      </c>
      <c r="L14">
        <f t="shared" si="2"/>
        <v>125</v>
      </c>
      <c r="M14">
        <f>VLOOKUP(L14,LookupTables!$E$2:$F$18,2)</f>
        <v>1</v>
      </c>
      <c r="N14">
        <f t="shared" si="3"/>
        <v>125</v>
      </c>
      <c r="O14">
        <f>VLOOKUP(N14,LookupTables!$E$2:$F$18,2)</f>
        <v>1</v>
      </c>
      <c r="P14" s="1">
        <f t="shared" si="4"/>
        <v>350</v>
      </c>
      <c r="Q14">
        <f>VLOOKUP(P14,LookupTables!$E$2:$F$18,2)</f>
        <v>5</v>
      </c>
      <c r="R14">
        <f t="shared" si="5"/>
        <v>175</v>
      </c>
      <c r="S14">
        <f>VLOOKUP(R14,LookupTables!$E$2:$F$18,2)</f>
        <v>3</v>
      </c>
      <c r="T14">
        <f t="shared" si="6"/>
        <v>225</v>
      </c>
      <c r="U14">
        <f>VLOOKUP(T14,LookupTables!$E$2:$F$18,2)</f>
        <v>3</v>
      </c>
    </row>
    <row r="15" spans="1:21" x14ac:dyDescent="0.2">
      <c r="A15" t="s">
        <v>39</v>
      </c>
      <c r="B15">
        <v>2</v>
      </c>
      <c r="C15" s="2" t="s">
        <v>115</v>
      </c>
      <c r="D15">
        <v>10</v>
      </c>
      <c r="E15">
        <v>0</v>
      </c>
      <c r="F15" s="1">
        <f>VLOOKUP(Table3[[#This Row],[Level]],LookupTables!$A$2:$C$11,3)</f>
        <v>250</v>
      </c>
      <c r="G15">
        <f>VLOOKUP(F15,LookupTables!$E$2:$F$18,2)</f>
        <v>3</v>
      </c>
      <c r="H15">
        <f t="shared" si="0"/>
        <v>125</v>
      </c>
      <c r="I15">
        <f>VLOOKUP(H15,LookupTables!$E$2:$F$18,2)</f>
        <v>1</v>
      </c>
      <c r="J15" s="1">
        <f t="shared" si="1"/>
        <v>260</v>
      </c>
      <c r="K15">
        <f>VLOOKUP(J15,LookupTables!$E$2:$F$18,2)</f>
        <v>3</v>
      </c>
      <c r="L15">
        <f t="shared" si="2"/>
        <v>130</v>
      </c>
      <c r="M15">
        <f>VLOOKUP(L15,LookupTables!$E$2:$F$18,2)</f>
        <v>1</v>
      </c>
      <c r="N15">
        <f t="shared" si="3"/>
        <v>135</v>
      </c>
      <c r="O15">
        <f>VLOOKUP(N15,LookupTables!$E$2:$F$18,2)</f>
        <v>1</v>
      </c>
      <c r="P15" s="1">
        <f t="shared" si="4"/>
        <v>260</v>
      </c>
      <c r="Q15">
        <f>VLOOKUP(P15,LookupTables!$E$2:$F$18,2)</f>
        <v>3</v>
      </c>
      <c r="R15">
        <f t="shared" si="5"/>
        <v>130</v>
      </c>
      <c r="S15">
        <f>VLOOKUP(R15,LookupTables!$E$2:$F$18,2)</f>
        <v>1</v>
      </c>
      <c r="T15">
        <f t="shared" si="6"/>
        <v>135</v>
      </c>
      <c r="U15">
        <f>VLOOKUP(T15,LookupTables!$E$2:$F$18,2)</f>
        <v>1</v>
      </c>
    </row>
    <row r="16" spans="1:21" x14ac:dyDescent="0.2">
      <c r="A16" t="s">
        <v>59</v>
      </c>
      <c r="B16">
        <v>2</v>
      </c>
      <c r="C16" s="2" t="s">
        <v>133</v>
      </c>
      <c r="D16">
        <v>0</v>
      </c>
      <c r="E16">
        <v>200</v>
      </c>
      <c r="F16" s="1">
        <f>VLOOKUP(Table3[[#This Row],[Level]],LookupTables!$A$2:$C$11,3)</f>
        <v>250</v>
      </c>
      <c r="G16">
        <f>VLOOKUP(F16,LookupTables!$E$2:$F$18,2)</f>
        <v>3</v>
      </c>
      <c r="H16">
        <f t="shared" si="0"/>
        <v>125</v>
      </c>
      <c r="I16">
        <f>VLOOKUP(H16,LookupTables!$E$2:$F$18,2)</f>
        <v>1</v>
      </c>
      <c r="J16" s="1">
        <f t="shared" si="1"/>
        <v>250</v>
      </c>
      <c r="K16">
        <f>VLOOKUP(J16,LookupTables!$E$2:$F$18,2)</f>
        <v>3</v>
      </c>
      <c r="L16">
        <f t="shared" si="2"/>
        <v>125</v>
      </c>
      <c r="M16">
        <f>VLOOKUP(L16,LookupTables!$E$2:$F$18,2)</f>
        <v>1</v>
      </c>
      <c r="N16">
        <f t="shared" si="3"/>
        <v>125</v>
      </c>
      <c r="O16">
        <f>VLOOKUP(N16,LookupTables!$E$2:$F$18,2)</f>
        <v>1</v>
      </c>
      <c r="P16" s="1">
        <f t="shared" si="4"/>
        <v>450</v>
      </c>
      <c r="Q16">
        <f>VLOOKUP(P16,LookupTables!$E$2:$F$18,2)</f>
        <v>7</v>
      </c>
      <c r="R16">
        <f t="shared" si="5"/>
        <v>225</v>
      </c>
      <c r="S16">
        <f>VLOOKUP(R16,LookupTables!$E$2:$F$18,2)</f>
        <v>3</v>
      </c>
      <c r="T16">
        <f t="shared" si="6"/>
        <v>325</v>
      </c>
      <c r="U16">
        <f>VLOOKUP(T16,LookupTables!$E$2:$F$18,2)</f>
        <v>5</v>
      </c>
    </row>
    <row r="17" spans="1:21" ht="25.5" x14ac:dyDescent="0.2">
      <c r="A17" t="s">
        <v>73</v>
      </c>
      <c r="B17">
        <v>2</v>
      </c>
      <c r="C17" s="2" t="s">
        <v>147</v>
      </c>
      <c r="D17">
        <v>0</v>
      </c>
      <c r="E17">
        <v>100</v>
      </c>
      <c r="F17" s="1">
        <f>VLOOKUP(Table3[[#This Row],[Level]],LookupTables!$A$2:$C$11,3)</f>
        <v>250</v>
      </c>
      <c r="G17">
        <f>VLOOKUP(F17,LookupTables!$E$2:$F$18,2)</f>
        <v>3</v>
      </c>
      <c r="H17">
        <f t="shared" si="0"/>
        <v>125</v>
      </c>
      <c r="I17">
        <f>VLOOKUP(H17,LookupTables!$E$2:$F$18,2)</f>
        <v>1</v>
      </c>
      <c r="J17" s="1">
        <f t="shared" si="1"/>
        <v>250</v>
      </c>
      <c r="K17">
        <f>VLOOKUP(J17,LookupTables!$E$2:$F$18,2)</f>
        <v>3</v>
      </c>
      <c r="L17">
        <f t="shared" si="2"/>
        <v>125</v>
      </c>
      <c r="M17">
        <f>VLOOKUP(L17,LookupTables!$E$2:$F$18,2)</f>
        <v>1</v>
      </c>
      <c r="N17">
        <f t="shared" si="3"/>
        <v>125</v>
      </c>
      <c r="O17">
        <f>VLOOKUP(N17,LookupTables!$E$2:$F$18,2)</f>
        <v>1</v>
      </c>
      <c r="P17" s="1">
        <f t="shared" si="4"/>
        <v>350</v>
      </c>
      <c r="Q17">
        <f>VLOOKUP(P17,LookupTables!$E$2:$F$18,2)</f>
        <v>5</v>
      </c>
      <c r="R17">
        <f t="shared" si="5"/>
        <v>175</v>
      </c>
      <c r="S17">
        <f>VLOOKUP(R17,LookupTables!$E$2:$F$18,2)</f>
        <v>3</v>
      </c>
      <c r="T17">
        <f t="shared" si="6"/>
        <v>225</v>
      </c>
      <c r="U17">
        <f>VLOOKUP(T17,LookupTables!$E$2:$F$18,2)</f>
        <v>3</v>
      </c>
    </row>
    <row r="18" spans="1:21" ht="25.5" x14ac:dyDescent="0.2">
      <c r="A18" t="s">
        <v>9</v>
      </c>
      <c r="B18">
        <v>3</v>
      </c>
      <c r="C18" s="2" t="s">
        <v>85</v>
      </c>
      <c r="D18">
        <v>0</v>
      </c>
      <c r="E18">
        <v>100</v>
      </c>
      <c r="F18" s="1">
        <f>VLOOKUP(Table3[[#This Row],[Level]],LookupTables!$A$2:$C$11,3)</f>
        <v>500</v>
      </c>
      <c r="G18">
        <f>VLOOKUP(F18,LookupTables!$E$2:$F$18,2)</f>
        <v>7</v>
      </c>
      <c r="H18">
        <f t="shared" si="0"/>
        <v>250</v>
      </c>
      <c r="I18">
        <f>VLOOKUP(H18,LookupTables!$E$2:$F$18,2)</f>
        <v>3</v>
      </c>
      <c r="J18" s="1">
        <f t="shared" si="1"/>
        <v>500</v>
      </c>
      <c r="K18">
        <f>VLOOKUP(J18,LookupTables!$E$2:$F$18,2)</f>
        <v>7</v>
      </c>
      <c r="L18">
        <f t="shared" si="2"/>
        <v>250</v>
      </c>
      <c r="M18">
        <f>VLOOKUP(L18,LookupTables!$E$2:$F$18,2)</f>
        <v>3</v>
      </c>
      <c r="N18">
        <f t="shared" si="3"/>
        <v>250</v>
      </c>
      <c r="O18">
        <f>VLOOKUP(N18,LookupTables!$E$2:$F$18,2)</f>
        <v>3</v>
      </c>
      <c r="P18" s="1">
        <f t="shared" si="4"/>
        <v>600</v>
      </c>
      <c r="Q18">
        <f>VLOOKUP(P18,LookupTables!$E$2:$F$18,2)</f>
        <v>7</v>
      </c>
      <c r="R18">
        <f t="shared" si="5"/>
        <v>300</v>
      </c>
      <c r="S18">
        <f>VLOOKUP(R18,LookupTables!$E$2:$F$18,2)</f>
        <v>5</v>
      </c>
      <c r="T18">
        <f t="shared" si="6"/>
        <v>350</v>
      </c>
      <c r="U18">
        <f>VLOOKUP(T18,LookupTables!$E$2:$F$18,2)</f>
        <v>5</v>
      </c>
    </row>
    <row r="19" spans="1:21" x14ac:dyDescent="0.2">
      <c r="A19" t="s">
        <v>24</v>
      </c>
      <c r="B19">
        <v>3</v>
      </c>
      <c r="C19" s="2" t="s">
        <v>100</v>
      </c>
      <c r="D19">
        <v>200</v>
      </c>
      <c r="E19">
        <v>0</v>
      </c>
      <c r="F19" s="1">
        <f>VLOOKUP(Table3[[#This Row],[Level]],LookupTables!$A$2:$C$11,3)</f>
        <v>500</v>
      </c>
      <c r="G19">
        <f>VLOOKUP(F19,LookupTables!$E$2:$F$18,2)</f>
        <v>7</v>
      </c>
      <c r="H19">
        <f t="shared" si="0"/>
        <v>250</v>
      </c>
      <c r="I19">
        <f>VLOOKUP(H19,LookupTables!$E$2:$F$18,2)</f>
        <v>3</v>
      </c>
      <c r="J19" s="1">
        <f t="shared" si="1"/>
        <v>700</v>
      </c>
      <c r="K19">
        <f>VLOOKUP(J19,LookupTables!$E$2:$F$18,2)</f>
        <v>7</v>
      </c>
      <c r="L19">
        <f t="shared" si="2"/>
        <v>350</v>
      </c>
      <c r="M19">
        <f>VLOOKUP(L19,LookupTables!$E$2:$F$18,2)</f>
        <v>5</v>
      </c>
      <c r="N19">
        <f t="shared" si="3"/>
        <v>450</v>
      </c>
      <c r="O19">
        <f>VLOOKUP(N19,LookupTables!$E$2:$F$18,2)</f>
        <v>7</v>
      </c>
      <c r="P19" s="1">
        <f t="shared" si="4"/>
        <v>700</v>
      </c>
      <c r="Q19">
        <f>VLOOKUP(P19,LookupTables!$E$2:$F$18,2)</f>
        <v>7</v>
      </c>
      <c r="R19">
        <f t="shared" si="5"/>
        <v>350</v>
      </c>
      <c r="S19">
        <f>VLOOKUP(R19,LookupTables!$E$2:$F$18,2)</f>
        <v>5</v>
      </c>
      <c r="T19">
        <f t="shared" si="6"/>
        <v>450</v>
      </c>
      <c r="U19">
        <f>VLOOKUP(T19,LookupTables!$E$2:$F$18,2)</f>
        <v>7</v>
      </c>
    </row>
    <row r="20" spans="1:21" x14ac:dyDescent="0.2">
      <c r="A20" t="s">
        <v>34</v>
      </c>
      <c r="B20">
        <v>3</v>
      </c>
      <c r="C20" s="2" t="s">
        <v>110</v>
      </c>
      <c r="D20">
        <v>0</v>
      </c>
      <c r="E20">
        <v>250</v>
      </c>
      <c r="F20" s="1">
        <f>VLOOKUP(Table3[[#This Row],[Level]],LookupTables!$A$2:$C$11,3)</f>
        <v>500</v>
      </c>
      <c r="G20">
        <f>VLOOKUP(F20,LookupTables!$E$2:$F$18,2)</f>
        <v>7</v>
      </c>
      <c r="H20">
        <f t="shared" si="0"/>
        <v>250</v>
      </c>
      <c r="I20">
        <f>VLOOKUP(H20,LookupTables!$E$2:$F$18,2)</f>
        <v>3</v>
      </c>
      <c r="J20" s="1">
        <f t="shared" si="1"/>
        <v>500</v>
      </c>
      <c r="K20">
        <f>VLOOKUP(J20,LookupTables!$E$2:$F$18,2)</f>
        <v>7</v>
      </c>
      <c r="L20">
        <f t="shared" si="2"/>
        <v>250</v>
      </c>
      <c r="M20">
        <f>VLOOKUP(L20,LookupTables!$E$2:$F$18,2)</f>
        <v>3</v>
      </c>
      <c r="N20">
        <f t="shared" si="3"/>
        <v>250</v>
      </c>
      <c r="O20">
        <f>VLOOKUP(N20,LookupTables!$E$2:$F$18,2)</f>
        <v>3</v>
      </c>
      <c r="P20" s="1">
        <f t="shared" si="4"/>
        <v>750</v>
      </c>
      <c r="Q20">
        <f>VLOOKUP(P20,LookupTables!$E$2:$F$18,2)</f>
        <v>7</v>
      </c>
      <c r="R20">
        <f t="shared" si="5"/>
        <v>375</v>
      </c>
      <c r="S20">
        <f>VLOOKUP(R20,LookupTables!$E$2:$F$18,2)</f>
        <v>5</v>
      </c>
      <c r="T20">
        <f t="shared" si="6"/>
        <v>500</v>
      </c>
      <c r="U20">
        <f>VLOOKUP(T20,LookupTables!$E$2:$F$18,2)</f>
        <v>7</v>
      </c>
    </row>
    <row r="21" spans="1:21" x14ac:dyDescent="0.2">
      <c r="A21" t="s">
        <v>37</v>
      </c>
      <c r="B21">
        <v>3</v>
      </c>
      <c r="C21" s="2" t="s">
        <v>113</v>
      </c>
      <c r="D21">
        <v>100</v>
      </c>
      <c r="E21">
        <v>0</v>
      </c>
      <c r="F21" s="1">
        <f>VLOOKUP(Table3[[#This Row],[Level]],LookupTables!$A$2:$C$11,3)</f>
        <v>500</v>
      </c>
      <c r="G21">
        <f>VLOOKUP(F21,LookupTables!$E$2:$F$18,2)</f>
        <v>7</v>
      </c>
      <c r="H21">
        <f t="shared" si="0"/>
        <v>250</v>
      </c>
      <c r="I21">
        <f>VLOOKUP(H21,LookupTables!$E$2:$F$18,2)</f>
        <v>3</v>
      </c>
      <c r="J21" s="1">
        <f t="shared" si="1"/>
        <v>600</v>
      </c>
      <c r="K21">
        <f>VLOOKUP(J21,LookupTables!$E$2:$F$18,2)</f>
        <v>7</v>
      </c>
      <c r="L21">
        <f t="shared" si="2"/>
        <v>300</v>
      </c>
      <c r="M21">
        <f>VLOOKUP(L21,LookupTables!$E$2:$F$18,2)</f>
        <v>5</v>
      </c>
      <c r="N21">
        <f t="shared" si="3"/>
        <v>350</v>
      </c>
      <c r="O21">
        <f>VLOOKUP(N21,LookupTables!$E$2:$F$18,2)</f>
        <v>5</v>
      </c>
      <c r="P21" s="1">
        <f t="shared" si="4"/>
        <v>600</v>
      </c>
      <c r="Q21">
        <f>VLOOKUP(P21,LookupTables!$E$2:$F$18,2)</f>
        <v>7</v>
      </c>
      <c r="R21">
        <f t="shared" si="5"/>
        <v>300</v>
      </c>
      <c r="S21">
        <f>VLOOKUP(R21,LookupTables!$E$2:$F$18,2)</f>
        <v>5</v>
      </c>
      <c r="T21">
        <f t="shared" si="6"/>
        <v>350</v>
      </c>
      <c r="U21">
        <f>VLOOKUP(T21,LookupTables!$E$2:$F$18,2)</f>
        <v>5</v>
      </c>
    </row>
    <row r="22" spans="1:21" x14ac:dyDescent="0.2">
      <c r="A22" t="s">
        <v>42</v>
      </c>
      <c r="B22">
        <v>3</v>
      </c>
      <c r="C22" s="2" t="s">
        <v>118</v>
      </c>
      <c r="D22">
        <v>25</v>
      </c>
      <c r="E22">
        <v>0</v>
      </c>
      <c r="F22" s="1">
        <f>VLOOKUP(Table3[[#This Row],[Level]],LookupTables!$A$2:$C$11,3)</f>
        <v>500</v>
      </c>
      <c r="G22">
        <f>VLOOKUP(F22,LookupTables!$E$2:$F$18,2)</f>
        <v>7</v>
      </c>
      <c r="H22">
        <f t="shared" si="0"/>
        <v>250</v>
      </c>
      <c r="I22">
        <f>VLOOKUP(H22,LookupTables!$E$2:$F$18,2)</f>
        <v>3</v>
      </c>
      <c r="J22" s="1">
        <f t="shared" si="1"/>
        <v>525</v>
      </c>
      <c r="K22">
        <f>VLOOKUP(J22,LookupTables!$E$2:$F$18,2)</f>
        <v>7</v>
      </c>
      <c r="L22">
        <f t="shared" si="2"/>
        <v>262.5</v>
      </c>
      <c r="M22">
        <f>VLOOKUP(L22,LookupTables!$E$2:$F$18,2)</f>
        <v>3</v>
      </c>
      <c r="N22">
        <f t="shared" si="3"/>
        <v>275</v>
      </c>
      <c r="O22">
        <f>VLOOKUP(N22,LookupTables!$E$2:$F$18,2)</f>
        <v>3</v>
      </c>
      <c r="P22" s="1">
        <f t="shared" si="4"/>
        <v>525</v>
      </c>
      <c r="Q22">
        <f>VLOOKUP(P22,LookupTables!$E$2:$F$18,2)</f>
        <v>7</v>
      </c>
      <c r="R22">
        <f t="shared" si="5"/>
        <v>262.5</v>
      </c>
      <c r="S22">
        <f>VLOOKUP(R22,LookupTables!$E$2:$F$18,2)</f>
        <v>3</v>
      </c>
      <c r="T22">
        <f t="shared" si="6"/>
        <v>275</v>
      </c>
      <c r="U22">
        <f>VLOOKUP(T22,LookupTables!$E$2:$F$18,2)</f>
        <v>3</v>
      </c>
    </row>
    <row r="23" spans="1:21" x14ac:dyDescent="0.2">
      <c r="A23" t="s">
        <v>51</v>
      </c>
      <c r="B23">
        <v>3</v>
      </c>
      <c r="C23" s="2" t="s">
        <v>127</v>
      </c>
      <c r="D23">
        <v>300</v>
      </c>
      <c r="E23">
        <v>0</v>
      </c>
      <c r="F23" s="1">
        <f>VLOOKUP(Table3[[#This Row],[Level]],LookupTables!$A$2:$C$11,3)</f>
        <v>500</v>
      </c>
      <c r="G23">
        <f>VLOOKUP(F23,LookupTables!$E$2:$F$18,2)</f>
        <v>7</v>
      </c>
      <c r="H23">
        <f t="shared" si="0"/>
        <v>250</v>
      </c>
      <c r="I23">
        <f>VLOOKUP(H23,LookupTables!$E$2:$F$18,2)</f>
        <v>3</v>
      </c>
      <c r="J23" s="1">
        <f t="shared" si="1"/>
        <v>800</v>
      </c>
      <c r="K23">
        <f>VLOOKUP(J23,LookupTables!$E$2:$F$18,2)</f>
        <v>9</v>
      </c>
      <c r="L23">
        <f t="shared" si="2"/>
        <v>400</v>
      </c>
      <c r="M23">
        <f>VLOOKUP(L23,LookupTables!$E$2:$F$18,2)</f>
        <v>7</v>
      </c>
      <c r="N23">
        <f t="shared" si="3"/>
        <v>550</v>
      </c>
      <c r="O23">
        <f>VLOOKUP(N23,LookupTables!$E$2:$F$18,2)</f>
        <v>7</v>
      </c>
      <c r="P23" s="1">
        <f t="shared" si="4"/>
        <v>800</v>
      </c>
      <c r="Q23">
        <f>VLOOKUP(P23,LookupTables!$E$2:$F$18,2)</f>
        <v>9</v>
      </c>
      <c r="R23">
        <f t="shared" si="5"/>
        <v>400</v>
      </c>
      <c r="S23">
        <f>VLOOKUP(R23,LookupTables!$E$2:$F$18,2)</f>
        <v>7</v>
      </c>
      <c r="T23">
        <f t="shared" si="6"/>
        <v>550</v>
      </c>
      <c r="U23">
        <f>VLOOKUP(T23,LookupTables!$E$2:$F$18,2)</f>
        <v>7</v>
      </c>
    </row>
    <row r="24" spans="1:21" x14ac:dyDescent="0.2">
      <c r="A24" t="s">
        <v>64</v>
      </c>
      <c r="B24">
        <v>3</v>
      </c>
      <c r="C24" s="2" t="s">
        <v>138</v>
      </c>
      <c r="D24">
        <v>0</v>
      </c>
      <c r="E24">
        <v>300</v>
      </c>
      <c r="F24" s="1">
        <f>VLOOKUP(Table3[[#This Row],[Level]],LookupTables!$A$2:$C$11,3)</f>
        <v>500</v>
      </c>
      <c r="G24">
        <f>VLOOKUP(F24,LookupTables!$E$2:$F$18,2)</f>
        <v>7</v>
      </c>
      <c r="H24">
        <f t="shared" si="0"/>
        <v>250</v>
      </c>
      <c r="I24">
        <f>VLOOKUP(H24,LookupTables!$E$2:$F$18,2)</f>
        <v>3</v>
      </c>
      <c r="J24" s="1">
        <f t="shared" si="1"/>
        <v>500</v>
      </c>
      <c r="K24">
        <f>VLOOKUP(J24,LookupTables!$E$2:$F$18,2)</f>
        <v>7</v>
      </c>
      <c r="L24">
        <f t="shared" si="2"/>
        <v>250</v>
      </c>
      <c r="M24">
        <f>VLOOKUP(L24,LookupTables!$E$2:$F$18,2)</f>
        <v>3</v>
      </c>
      <c r="N24">
        <f t="shared" si="3"/>
        <v>250</v>
      </c>
      <c r="O24">
        <f>VLOOKUP(N24,LookupTables!$E$2:$F$18,2)</f>
        <v>3</v>
      </c>
      <c r="P24" s="1">
        <f t="shared" si="4"/>
        <v>800</v>
      </c>
      <c r="Q24">
        <f>VLOOKUP(P24,LookupTables!$E$2:$F$18,2)</f>
        <v>9</v>
      </c>
      <c r="R24">
        <f t="shared" si="5"/>
        <v>400</v>
      </c>
      <c r="S24">
        <f>VLOOKUP(R24,LookupTables!$E$2:$F$18,2)</f>
        <v>7</v>
      </c>
      <c r="T24">
        <f t="shared" si="6"/>
        <v>550</v>
      </c>
      <c r="U24">
        <f>VLOOKUP(T24,LookupTables!$E$2:$F$18,2)</f>
        <v>7</v>
      </c>
    </row>
    <row r="25" spans="1:21" x14ac:dyDescent="0.2">
      <c r="A25" t="s">
        <v>66</v>
      </c>
      <c r="B25">
        <v>3</v>
      </c>
      <c r="C25" s="2" t="s">
        <v>140</v>
      </c>
      <c r="D25">
        <v>0</v>
      </c>
      <c r="E25">
        <v>300</v>
      </c>
      <c r="F25" s="1">
        <f>VLOOKUP(Table3[[#This Row],[Level]],LookupTables!$A$2:$C$11,3)</f>
        <v>500</v>
      </c>
      <c r="G25">
        <f>VLOOKUP(F25,LookupTables!$E$2:$F$18,2)</f>
        <v>7</v>
      </c>
      <c r="H25">
        <f t="shared" si="0"/>
        <v>250</v>
      </c>
      <c r="I25">
        <f>VLOOKUP(H25,LookupTables!$E$2:$F$18,2)</f>
        <v>3</v>
      </c>
      <c r="J25" s="1">
        <f t="shared" si="1"/>
        <v>500</v>
      </c>
      <c r="K25">
        <f>VLOOKUP(J25,LookupTables!$E$2:$F$18,2)</f>
        <v>7</v>
      </c>
      <c r="L25">
        <f t="shared" si="2"/>
        <v>250</v>
      </c>
      <c r="M25">
        <f>VLOOKUP(L25,LookupTables!$E$2:$F$18,2)</f>
        <v>3</v>
      </c>
      <c r="N25">
        <f t="shared" si="3"/>
        <v>250</v>
      </c>
      <c r="O25">
        <f>VLOOKUP(N25,LookupTables!$E$2:$F$18,2)</f>
        <v>3</v>
      </c>
      <c r="P25" s="1">
        <f t="shared" si="4"/>
        <v>800</v>
      </c>
      <c r="Q25">
        <f>VLOOKUP(P25,LookupTables!$E$2:$F$18,2)</f>
        <v>9</v>
      </c>
      <c r="R25">
        <f t="shared" si="5"/>
        <v>400</v>
      </c>
      <c r="S25">
        <f>VLOOKUP(R25,LookupTables!$E$2:$F$18,2)</f>
        <v>7</v>
      </c>
      <c r="T25">
        <f t="shared" si="6"/>
        <v>550</v>
      </c>
      <c r="U25">
        <f>VLOOKUP(T25,LookupTables!$E$2:$F$18,2)</f>
        <v>7</v>
      </c>
    </row>
    <row r="26" spans="1:21" x14ac:dyDescent="0.2">
      <c r="A26" t="s">
        <v>16</v>
      </c>
      <c r="B26">
        <v>4</v>
      </c>
      <c r="C26" s="2" t="s">
        <v>92</v>
      </c>
      <c r="D26">
        <v>25</v>
      </c>
      <c r="E26">
        <v>0</v>
      </c>
      <c r="F26" s="1">
        <f>VLOOKUP(Table3[[#This Row],[Level]],LookupTables!$A$2:$C$11,3)</f>
        <v>2500</v>
      </c>
      <c r="G26">
        <f>VLOOKUP(F26,LookupTables!$E$2:$F$18,2)</f>
        <v>17</v>
      </c>
      <c r="H26">
        <f t="shared" si="0"/>
        <v>1250</v>
      </c>
      <c r="I26">
        <f>VLOOKUP(H26,LookupTables!$E$2:$F$18,2)</f>
        <v>11</v>
      </c>
      <c r="J26" s="1">
        <f t="shared" si="1"/>
        <v>2525</v>
      </c>
      <c r="K26">
        <f>VLOOKUP(J26,LookupTables!$E$2:$F$18,2)</f>
        <v>17</v>
      </c>
      <c r="L26">
        <f t="shared" si="2"/>
        <v>1262.5</v>
      </c>
      <c r="M26">
        <f>VLOOKUP(L26,LookupTables!$E$2:$F$18,2)</f>
        <v>11</v>
      </c>
      <c r="N26">
        <f t="shared" si="3"/>
        <v>1275</v>
      </c>
      <c r="O26">
        <f>VLOOKUP(N26,LookupTables!$E$2:$F$18,2)</f>
        <v>11</v>
      </c>
      <c r="P26" s="1">
        <f t="shared" si="4"/>
        <v>2525</v>
      </c>
      <c r="Q26">
        <f>VLOOKUP(P26,LookupTables!$E$2:$F$18,2)</f>
        <v>17</v>
      </c>
      <c r="R26">
        <f t="shared" si="5"/>
        <v>1262.5</v>
      </c>
      <c r="S26">
        <f>VLOOKUP(R26,LookupTables!$E$2:$F$18,2)</f>
        <v>11</v>
      </c>
      <c r="T26">
        <f t="shared" si="6"/>
        <v>1275</v>
      </c>
      <c r="U26">
        <f>VLOOKUP(T26,LookupTables!$E$2:$F$18,2)</f>
        <v>11</v>
      </c>
    </row>
    <row r="27" spans="1:21" ht="38.25" x14ac:dyDescent="0.2">
      <c r="A27" t="s">
        <v>36</v>
      </c>
      <c r="B27">
        <v>4</v>
      </c>
      <c r="C27" s="2" t="s">
        <v>112</v>
      </c>
      <c r="D27">
        <v>0</v>
      </c>
      <c r="E27">
        <v>5050</v>
      </c>
      <c r="F27" s="1">
        <f>VLOOKUP(Table3[[#This Row],[Level]],LookupTables!$A$2:$C$11,3)</f>
        <v>2500</v>
      </c>
      <c r="G27">
        <f>VLOOKUP(F27,LookupTables!$E$2:$F$18,2)</f>
        <v>17</v>
      </c>
      <c r="H27">
        <f t="shared" si="0"/>
        <v>1250</v>
      </c>
      <c r="I27">
        <f>VLOOKUP(H27,LookupTables!$E$2:$F$18,2)</f>
        <v>11</v>
      </c>
      <c r="J27" s="1">
        <f t="shared" si="1"/>
        <v>2500</v>
      </c>
      <c r="K27">
        <f>VLOOKUP(J27,LookupTables!$E$2:$F$18,2)</f>
        <v>17</v>
      </c>
      <c r="L27">
        <f t="shared" si="2"/>
        <v>1250</v>
      </c>
      <c r="M27">
        <f>VLOOKUP(L27,LookupTables!$E$2:$F$18,2)</f>
        <v>11</v>
      </c>
      <c r="N27">
        <f t="shared" si="3"/>
        <v>1250</v>
      </c>
      <c r="O27">
        <f>VLOOKUP(N27,LookupTables!$E$2:$F$18,2)</f>
        <v>11</v>
      </c>
      <c r="P27" s="1">
        <f t="shared" si="4"/>
        <v>7550</v>
      </c>
      <c r="Q27">
        <f>VLOOKUP(P27,LookupTables!$E$2:$F$18,2)</f>
        <v>23</v>
      </c>
      <c r="R27">
        <f t="shared" si="5"/>
        <v>3775</v>
      </c>
      <c r="S27">
        <f>VLOOKUP(R27,LookupTables!$E$2:$F$18,2)</f>
        <v>21</v>
      </c>
      <c r="T27">
        <f t="shared" si="6"/>
        <v>6300</v>
      </c>
      <c r="U27">
        <f>VLOOKUP(T27,LookupTables!$E$2:$F$18,2)</f>
        <v>23</v>
      </c>
    </row>
    <row r="28" spans="1:21" x14ac:dyDescent="0.2">
      <c r="A28" t="s">
        <v>57</v>
      </c>
      <c r="B28">
        <v>4</v>
      </c>
      <c r="C28" s="2" t="s">
        <v>101</v>
      </c>
      <c r="D28">
        <v>100</v>
      </c>
      <c r="E28">
        <v>0</v>
      </c>
      <c r="F28" s="1">
        <f>VLOOKUP(Table3[[#This Row],[Level]],LookupTables!$A$2:$C$11,3)</f>
        <v>2500</v>
      </c>
      <c r="G28">
        <f>VLOOKUP(F28,LookupTables!$E$2:$F$18,2)</f>
        <v>17</v>
      </c>
      <c r="H28">
        <f t="shared" si="0"/>
        <v>1250</v>
      </c>
      <c r="I28">
        <f>VLOOKUP(H28,LookupTables!$E$2:$F$18,2)</f>
        <v>11</v>
      </c>
      <c r="J28" s="1">
        <f t="shared" si="1"/>
        <v>2600</v>
      </c>
      <c r="K28">
        <f>VLOOKUP(J28,LookupTables!$E$2:$F$18,2)</f>
        <v>17</v>
      </c>
      <c r="L28">
        <f t="shared" si="2"/>
        <v>1300</v>
      </c>
      <c r="M28">
        <f>VLOOKUP(L28,LookupTables!$E$2:$F$18,2)</f>
        <v>11</v>
      </c>
      <c r="N28">
        <f t="shared" si="3"/>
        <v>1350</v>
      </c>
      <c r="O28">
        <f>VLOOKUP(N28,LookupTables!$E$2:$F$18,2)</f>
        <v>11</v>
      </c>
      <c r="P28" s="1">
        <f t="shared" si="4"/>
        <v>2600</v>
      </c>
      <c r="Q28">
        <f>VLOOKUP(P28,LookupTables!$E$2:$F$18,2)</f>
        <v>17</v>
      </c>
      <c r="R28">
        <f t="shared" si="5"/>
        <v>1300</v>
      </c>
      <c r="S28">
        <f>VLOOKUP(R28,LookupTables!$E$2:$F$18,2)</f>
        <v>11</v>
      </c>
      <c r="T28">
        <f t="shared" si="6"/>
        <v>1350</v>
      </c>
      <c r="U28">
        <f>VLOOKUP(T28,LookupTables!$E$2:$F$18,2)</f>
        <v>11</v>
      </c>
    </row>
    <row r="29" spans="1:21" ht="25.5" x14ac:dyDescent="0.2">
      <c r="A29" t="s">
        <v>58</v>
      </c>
      <c r="B29">
        <v>4</v>
      </c>
      <c r="C29" s="2" t="s">
        <v>132</v>
      </c>
      <c r="D29">
        <v>0</v>
      </c>
      <c r="E29">
        <v>400</v>
      </c>
      <c r="F29" s="1">
        <f>VLOOKUP(Table3[[#This Row],[Level]],LookupTables!$A$2:$C$11,3)</f>
        <v>2500</v>
      </c>
      <c r="G29">
        <f>VLOOKUP(F29,LookupTables!$E$2:$F$18,2)</f>
        <v>17</v>
      </c>
      <c r="H29">
        <f t="shared" si="0"/>
        <v>1250</v>
      </c>
      <c r="I29">
        <f>VLOOKUP(H29,LookupTables!$E$2:$F$18,2)</f>
        <v>11</v>
      </c>
      <c r="J29" s="1">
        <f t="shared" si="1"/>
        <v>2500</v>
      </c>
      <c r="K29">
        <f>VLOOKUP(J29,LookupTables!$E$2:$F$18,2)</f>
        <v>17</v>
      </c>
      <c r="L29">
        <f t="shared" si="2"/>
        <v>1250</v>
      </c>
      <c r="M29">
        <f>VLOOKUP(L29,LookupTables!$E$2:$F$18,2)</f>
        <v>11</v>
      </c>
      <c r="N29">
        <f t="shared" si="3"/>
        <v>1250</v>
      </c>
      <c r="O29">
        <f>VLOOKUP(N29,LookupTables!$E$2:$F$18,2)</f>
        <v>11</v>
      </c>
      <c r="P29" s="1">
        <f t="shared" si="4"/>
        <v>2900</v>
      </c>
      <c r="Q29">
        <f>VLOOKUP(P29,LookupTables!$E$2:$F$18,2)</f>
        <v>17</v>
      </c>
      <c r="R29">
        <f t="shared" si="5"/>
        <v>1450</v>
      </c>
      <c r="S29">
        <f>VLOOKUP(R29,LookupTables!$E$2:$F$18,2)</f>
        <v>11</v>
      </c>
      <c r="T29">
        <f t="shared" si="6"/>
        <v>1650</v>
      </c>
      <c r="U29">
        <f>VLOOKUP(T29,LookupTables!$E$2:$F$18,2)</f>
        <v>13</v>
      </c>
    </row>
    <row r="30" spans="1:21" x14ac:dyDescent="0.2">
      <c r="A30" t="s">
        <v>61</v>
      </c>
      <c r="B30">
        <v>4</v>
      </c>
      <c r="C30" s="2" t="s">
        <v>135</v>
      </c>
      <c r="D30">
        <v>0</v>
      </c>
      <c r="E30">
        <v>400</v>
      </c>
      <c r="F30" s="1">
        <f>VLOOKUP(Table3[[#This Row],[Level]],LookupTables!$A$2:$C$11,3)</f>
        <v>2500</v>
      </c>
      <c r="G30">
        <f>VLOOKUP(F30,LookupTables!$E$2:$F$18,2)</f>
        <v>17</v>
      </c>
      <c r="H30">
        <f t="shared" si="0"/>
        <v>1250</v>
      </c>
      <c r="I30">
        <f>VLOOKUP(H30,LookupTables!$E$2:$F$18,2)</f>
        <v>11</v>
      </c>
      <c r="J30" s="1">
        <f t="shared" si="1"/>
        <v>2500</v>
      </c>
      <c r="K30">
        <f>VLOOKUP(J30,LookupTables!$E$2:$F$18,2)</f>
        <v>17</v>
      </c>
      <c r="L30">
        <f t="shared" si="2"/>
        <v>1250</v>
      </c>
      <c r="M30">
        <f>VLOOKUP(L30,LookupTables!$E$2:$F$18,2)</f>
        <v>11</v>
      </c>
      <c r="N30">
        <f t="shared" si="3"/>
        <v>1250</v>
      </c>
      <c r="O30">
        <f>VLOOKUP(N30,LookupTables!$E$2:$F$18,2)</f>
        <v>11</v>
      </c>
      <c r="P30" s="1">
        <f t="shared" si="4"/>
        <v>2900</v>
      </c>
      <c r="Q30">
        <f>VLOOKUP(P30,LookupTables!$E$2:$F$18,2)</f>
        <v>17</v>
      </c>
      <c r="R30">
        <f t="shared" si="5"/>
        <v>1450</v>
      </c>
      <c r="S30">
        <f>VLOOKUP(R30,LookupTables!$E$2:$F$18,2)</f>
        <v>11</v>
      </c>
      <c r="T30">
        <f t="shared" si="6"/>
        <v>1650</v>
      </c>
      <c r="U30">
        <f>VLOOKUP(T30,LookupTables!$E$2:$F$18,2)</f>
        <v>13</v>
      </c>
    </row>
    <row r="31" spans="1:21" x14ac:dyDescent="0.2">
      <c r="A31" t="s">
        <v>63</v>
      </c>
      <c r="B31">
        <v>4</v>
      </c>
      <c r="C31" s="2" t="s">
        <v>137</v>
      </c>
      <c r="D31">
        <v>0</v>
      </c>
      <c r="E31">
        <v>400</v>
      </c>
      <c r="F31" s="1">
        <f>VLOOKUP(Table3[[#This Row],[Level]],LookupTables!$A$2:$C$11,3)</f>
        <v>2500</v>
      </c>
      <c r="G31">
        <f>VLOOKUP(F31,LookupTables!$E$2:$F$18,2)</f>
        <v>17</v>
      </c>
      <c r="H31">
        <f t="shared" si="0"/>
        <v>1250</v>
      </c>
      <c r="I31">
        <f>VLOOKUP(H31,LookupTables!$E$2:$F$18,2)</f>
        <v>11</v>
      </c>
      <c r="J31" s="1">
        <f t="shared" si="1"/>
        <v>2500</v>
      </c>
      <c r="K31">
        <f>VLOOKUP(J31,LookupTables!$E$2:$F$18,2)</f>
        <v>17</v>
      </c>
      <c r="L31">
        <f t="shared" si="2"/>
        <v>1250</v>
      </c>
      <c r="M31">
        <f>VLOOKUP(L31,LookupTables!$E$2:$F$18,2)</f>
        <v>11</v>
      </c>
      <c r="N31">
        <f t="shared" si="3"/>
        <v>1250</v>
      </c>
      <c r="O31">
        <f>VLOOKUP(N31,LookupTables!$E$2:$F$18,2)</f>
        <v>11</v>
      </c>
      <c r="P31" s="1">
        <f t="shared" si="4"/>
        <v>2900</v>
      </c>
      <c r="Q31">
        <f>VLOOKUP(P31,LookupTables!$E$2:$F$18,2)</f>
        <v>17</v>
      </c>
      <c r="R31">
        <f t="shared" si="5"/>
        <v>1450</v>
      </c>
      <c r="S31">
        <f>VLOOKUP(R31,LookupTables!$E$2:$F$18,2)</f>
        <v>11</v>
      </c>
      <c r="T31">
        <f t="shared" si="6"/>
        <v>1650</v>
      </c>
      <c r="U31">
        <f>VLOOKUP(T31,LookupTables!$E$2:$F$18,2)</f>
        <v>13</v>
      </c>
    </row>
    <row r="32" spans="1:21" x14ac:dyDescent="0.2">
      <c r="A32" t="s">
        <v>1</v>
      </c>
      <c r="B32">
        <v>5</v>
      </c>
      <c r="C32" s="2" t="s">
        <v>77</v>
      </c>
      <c r="D32">
        <v>0</v>
      </c>
      <c r="E32">
        <v>50</v>
      </c>
      <c r="F32" s="1">
        <f>VLOOKUP(Table3[[#This Row],[Level]],LookupTables!$A$2:$C$11,3)</f>
        <v>5000</v>
      </c>
      <c r="G32">
        <f>VLOOKUP(F32,LookupTables!$E$2:$F$18,2)</f>
        <v>23</v>
      </c>
      <c r="H32">
        <f t="shared" si="0"/>
        <v>2500</v>
      </c>
      <c r="I32">
        <f>VLOOKUP(H32,LookupTables!$E$2:$F$18,2)</f>
        <v>17</v>
      </c>
      <c r="J32" s="1">
        <f t="shared" si="1"/>
        <v>5000</v>
      </c>
      <c r="K32">
        <f>VLOOKUP(J32,LookupTables!$E$2:$F$18,2)</f>
        <v>23</v>
      </c>
      <c r="L32">
        <f t="shared" si="2"/>
        <v>2500</v>
      </c>
      <c r="M32">
        <f>VLOOKUP(L32,LookupTables!$E$2:$F$18,2)</f>
        <v>17</v>
      </c>
      <c r="N32">
        <f t="shared" si="3"/>
        <v>2500</v>
      </c>
      <c r="O32">
        <f>VLOOKUP(N32,LookupTables!$E$2:$F$18,2)</f>
        <v>17</v>
      </c>
      <c r="P32" s="1">
        <f t="shared" si="4"/>
        <v>5050</v>
      </c>
      <c r="Q32">
        <f>VLOOKUP(P32,LookupTables!$E$2:$F$18,2)</f>
        <v>23</v>
      </c>
      <c r="R32">
        <f t="shared" si="5"/>
        <v>2525</v>
      </c>
      <c r="S32">
        <f>VLOOKUP(R32,LookupTables!$E$2:$F$18,2)</f>
        <v>17</v>
      </c>
      <c r="T32">
        <f t="shared" si="6"/>
        <v>2550</v>
      </c>
      <c r="U32">
        <f>VLOOKUP(T32,LookupTables!$E$2:$F$18,2)</f>
        <v>17</v>
      </c>
    </row>
    <row r="33" spans="1:21" x14ac:dyDescent="0.2">
      <c r="A33" t="s">
        <v>5</v>
      </c>
      <c r="B33">
        <v>5</v>
      </c>
      <c r="C33" s="2" t="s">
        <v>81</v>
      </c>
      <c r="D33">
        <v>1000</v>
      </c>
      <c r="E33">
        <v>0</v>
      </c>
      <c r="F33" s="1">
        <f>VLOOKUP(Table3[[#This Row],[Level]],LookupTables!$A$2:$C$11,3)</f>
        <v>5000</v>
      </c>
      <c r="G33">
        <f>VLOOKUP(F33,LookupTables!$E$2:$F$18,2)</f>
        <v>23</v>
      </c>
      <c r="H33">
        <f t="shared" si="0"/>
        <v>2500</v>
      </c>
      <c r="I33">
        <f>VLOOKUP(H33,LookupTables!$E$2:$F$18,2)</f>
        <v>17</v>
      </c>
      <c r="J33" s="1">
        <f t="shared" si="1"/>
        <v>6000</v>
      </c>
      <c r="K33">
        <f>VLOOKUP(J33,LookupTables!$E$2:$F$18,2)</f>
        <v>23</v>
      </c>
      <c r="L33">
        <f t="shared" si="2"/>
        <v>3000</v>
      </c>
      <c r="M33">
        <f>VLOOKUP(L33,LookupTables!$E$2:$F$18,2)</f>
        <v>19</v>
      </c>
      <c r="N33">
        <f t="shared" si="3"/>
        <v>3500</v>
      </c>
      <c r="O33">
        <f>VLOOKUP(N33,LookupTables!$E$2:$F$18,2)</f>
        <v>21</v>
      </c>
      <c r="P33" s="1">
        <f t="shared" si="4"/>
        <v>6000</v>
      </c>
      <c r="Q33">
        <f>VLOOKUP(P33,LookupTables!$E$2:$F$18,2)</f>
        <v>23</v>
      </c>
      <c r="R33">
        <f t="shared" si="5"/>
        <v>3000</v>
      </c>
      <c r="S33">
        <f>VLOOKUP(R33,LookupTables!$E$2:$F$18,2)</f>
        <v>19</v>
      </c>
      <c r="T33">
        <f t="shared" si="6"/>
        <v>3500</v>
      </c>
      <c r="U33">
        <f>VLOOKUP(T33,LookupTables!$E$2:$F$18,2)</f>
        <v>21</v>
      </c>
    </row>
    <row r="34" spans="1:21" x14ac:dyDescent="0.2">
      <c r="A34" t="s">
        <v>25</v>
      </c>
      <c r="B34">
        <v>5</v>
      </c>
      <c r="C34" s="2" t="s">
        <v>101</v>
      </c>
      <c r="D34">
        <v>100</v>
      </c>
      <c r="E34">
        <v>0</v>
      </c>
      <c r="F34" s="1">
        <f>VLOOKUP(Table3[[#This Row],[Level]],LookupTables!$A$2:$C$11,3)</f>
        <v>5000</v>
      </c>
      <c r="G34">
        <f>VLOOKUP(F34,LookupTables!$E$2:$F$18,2)</f>
        <v>23</v>
      </c>
      <c r="H34">
        <f t="shared" si="0"/>
        <v>2500</v>
      </c>
      <c r="I34">
        <f>VLOOKUP(H34,LookupTables!$E$2:$F$18,2)</f>
        <v>17</v>
      </c>
      <c r="J34" s="1">
        <f t="shared" si="1"/>
        <v>5100</v>
      </c>
      <c r="K34">
        <f>VLOOKUP(J34,LookupTables!$E$2:$F$18,2)</f>
        <v>23</v>
      </c>
      <c r="L34">
        <f t="shared" si="2"/>
        <v>2550</v>
      </c>
      <c r="M34">
        <f>VLOOKUP(L34,LookupTables!$E$2:$F$18,2)</f>
        <v>17</v>
      </c>
      <c r="N34">
        <f t="shared" si="3"/>
        <v>2600</v>
      </c>
      <c r="O34">
        <f>VLOOKUP(N34,LookupTables!$E$2:$F$18,2)</f>
        <v>17</v>
      </c>
      <c r="P34" s="1">
        <f t="shared" si="4"/>
        <v>5100</v>
      </c>
      <c r="Q34">
        <f>VLOOKUP(P34,LookupTables!$E$2:$F$18,2)</f>
        <v>23</v>
      </c>
      <c r="R34">
        <f t="shared" si="5"/>
        <v>2550</v>
      </c>
      <c r="S34">
        <f>VLOOKUP(R34,LookupTables!$E$2:$F$18,2)</f>
        <v>17</v>
      </c>
      <c r="T34">
        <f t="shared" si="6"/>
        <v>2600</v>
      </c>
      <c r="U34">
        <f>VLOOKUP(T34,LookupTables!$E$2:$F$18,2)</f>
        <v>17</v>
      </c>
    </row>
    <row r="35" spans="1:21" x14ac:dyDescent="0.2">
      <c r="A35" t="s">
        <v>27</v>
      </c>
      <c r="B35">
        <v>5</v>
      </c>
      <c r="C35" s="2" t="s">
        <v>103</v>
      </c>
      <c r="D35">
        <v>1000</v>
      </c>
      <c r="E35">
        <v>0</v>
      </c>
      <c r="F35" s="1">
        <f>VLOOKUP(Table3[[#This Row],[Level]],LookupTables!$A$2:$C$11,3)</f>
        <v>5000</v>
      </c>
      <c r="G35">
        <f>VLOOKUP(F35,LookupTables!$E$2:$F$18,2)</f>
        <v>23</v>
      </c>
      <c r="H35">
        <f t="shared" ref="H35:H66" si="7">F35/2</f>
        <v>2500</v>
      </c>
      <c r="I35">
        <f>VLOOKUP(H35,LookupTables!$E$2:$F$18,2)</f>
        <v>17</v>
      </c>
      <c r="J35" s="1">
        <f t="shared" ref="J35:J66" si="8">F35+D35</f>
        <v>6000</v>
      </c>
      <c r="K35">
        <f>VLOOKUP(J35,LookupTables!$E$2:$F$18,2)</f>
        <v>23</v>
      </c>
      <c r="L35">
        <f t="shared" ref="L35:L66" si="9">J35/2</f>
        <v>3000</v>
      </c>
      <c r="M35">
        <f>VLOOKUP(L35,LookupTables!$E$2:$F$18,2)</f>
        <v>19</v>
      </c>
      <c r="N35">
        <f t="shared" ref="N35:N66" si="10">F35/2+D35</f>
        <v>3500</v>
      </c>
      <c r="O35">
        <f>VLOOKUP(N35,LookupTables!$E$2:$F$18,2)</f>
        <v>21</v>
      </c>
      <c r="P35" s="1">
        <f t="shared" ref="P35:P66" si="11">F35+E35+D35</f>
        <v>6000</v>
      </c>
      <c r="Q35">
        <f>VLOOKUP(P35,LookupTables!$E$2:$F$18,2)</f>
        <v>23</v>
      </c>
      <c r="R35">
        <f t="shared" ref="R35:R66" si="12">P35/2</f>
        <v>3000</v>
      </c>
      <c r="S35">
        <f>VLOOKUP(R35,LookupTables!$E$2:$F$18,2)</f>
        <v>19</v>
      </c>
      <c r="T35">
        <f t="shared" ref="T35:T66" si="13">F35/2+E35+D35</f>
        <v>3500</v>
      </c>
      <c r="U35">
        <f>VLOOKUP(T35,LookupTables!$E$2:$F$18,2)</f>
        <v>21</v>
      </c>
    </row>
    <row r="36" spans="1:21" ht="25.5" x14ac:dyDescent="0.2">
      <c r="A36" t="s">
        <v>35</v>
      </c>
      <c r="B36">
        <v>5</v>
      </c>
      <c r="C36" s="2" t="s">
        <v>111</v>
      </c>
      <c r="D36">
        <v>250</v>
      </c>
      <c r="E36">
        <v>200</v>
      </c>
      <c r="F36" s="1">
        <f>VLOOKUP(Table3[[#This Row],[Level]],LookupTables!$A$2:$C$11,3)</f>
        <v>5000</v>
      </c>
      <c r="G36">
        <f>VLOOKUP(F36,LookupTables!$E$2:$F$18,2)</f>
        <v>23</v>
      </c>
      <c r="H36">
        <f t="shared" si="7"/>
        <v>2500</v>
      </c>
      <c r="I36">
        <f>VLOOKUP(H36,LookupTables!$E$2:$F$18,2)</f>
        <v>17</v>
      </c>
      <c r="J36" s="1">
        <f t="shared" si="8"/>
        <v>5250</v>
      </c>
      <c r="K36">
        <f>VLOOKUP(J36,LookupTables!$E$2:$F$18,2)</f>
        <v>23</v>
      </c>
      <c r="L36">
        <f t="shared" si="9"/>
        <v>2625</v>
      </c>
      <c r="M36">
        <f>VLOOKUP(L36,LookupTables!$E$2:$F$18,2)</f>
        <v>17</v>
      </c>
      <c r="N36">
        <f t="shared" si="10"/>
        <v>2750</v>
      </c>
      <c r="O36">
        <f>VLOOKUP(N36,LookupTables!$E$2:$F$18,2)</f>
        <v>17</v>
      </c>
      <c r="P36" s="1">
        <f t="shared" si="11"/>
        <v>5450</v>
      </c>
      <c r="Q36">
        <f>VLOOKUP(P36,LookupTables!$E$2:$F$18,2)</f>
        <v>23</v>
      </c>
      <c r="R36">
        <f t="shared" si="12"/>
        <v>2725</v>
      </c>
      <c r="S36">
        <f>VLOOKUP(R36,LookupTables!$E$2:$F$18,2)</f>
        <v>17</v>
      </c>
      <c r="T36">
        <f t="shared" si="13"/>
        <v>2950</v>
      </c>
      <c r="U36">
        <f>VLOOKUP(T36,LookupTables!$E$2:$F$18,2)</f>
        <v>17</v>
      </c>
    </row>
    <row r="37" spans="1:21" x14ac:dyDescent="0.2">
      <c r="A37" t="s">
        <v>43</v>
      </c>
      <c r="B37">
        <v>5</v>
      </c>
      <c r="C37" s="2" t="s">
        <v>119</v>
      </c>
      <c r="D37">
        <v>1000</v>
      </c>
      <c r="E37">
        <v>0</v>
      </c>
      <c r="F37" s="1">
        <f>VLOOKUP(Table3[[#This Row],[Level]],LookupTables!$A$2:$C$11,3)</f>
        <v>5000</v>
      </c>
      <c r="G37">
        <f>VLOOKUP(F37,LookupTables!$E$2:$F$18,2)</f>
        <v>23</v>
      </c>
      <c r="H37">
        <f t="shared" si="7"/>
        <v>2500</v>
      </c>
      <c r="I37">
        <f>VLOOKUP(H37,LookupTables!$E$2:$F$18,2)</f>
        <v>17</v>
      </c>
      <c r="J37" s="1">
        <f t="shared" si="8"/>
        <v>6000</v>
      </c>
      <c r="K37">
        <f>VLOOKUP(J37,LookupTables!$E$2:$F$18,2)</f>
        <v>23</v>
      </c>
      <c r="L37">
        <f t="shared" si="9"/>
        <v>3000</v>
      </c>
      <c r="M37">
        <f>VLOOKUP(L37,LookupTables!$E$2:$F$18,2)</f>
        <v>19</v>
      </c>
      <c r="N37">
        <f t="shared" si="10"/>
        <v>3500</v>
      </c>
      <c r="O37">
        <f>VLOOKUP(N37,LookupTables!$E$2:$F$18,2)</f>
        <v>21</v>
      </c>
      <c r="P37" s="1">
        <f t="shared" si="11"/>
        <v>6000</v>
      </c>
      <c r="Q37">
        <f>VLOOKUP(P37,LookupTables!$E$2:$F$18,2)</f>
        <v>23</v>
      </c>
      <c r="R37">
        <f t="shared" si="12"/>
        <v>3000</v>
      </c>
      <c r="S37">
        <f>VLOOKUP(R37,LookupTables!$E$2:$F$18,2)</f>
        <v>19</v>
      </c>
      <c r="T37">
        <f t="shared" si="13"/>
        <v>3500</v>
      </c>
      <c r="U37">
        <f>VLOOKUP(T37,LookupTables!$E$2:$F$18,2)</f>
        <v>21</v>
      </c>
    </row>
    <row r="38" spans="1:21" x14ac:dyDescent="0.2">
      <c r="A38" t="s">
        <v>48</v>
      </c>
      <c r="B38">
        <v>5</v>
      </c>
      <c r="C38" s="2" t="s">
        <v>124</v>
      </c>
      <c r="D38">
        <v>500</v>
      </c>
      <c r="E38">
        <v>0</v>
      </c>
      <c r="F38" s="1">
        <f>VLOOKUP(Table3[[#This Row],[Level]],LookupTables!$A$2:$C$11,3)</f>
        <v>5000</v>
      </c>
      <c r="G38">
        <f>VLOOKUP(F38,LookupTables!$E$2:$F$18,2)</f>
        <v>23</v>
      </c>
      <c r="H38">
        <f t="shared" si="7"/>
        <v>2500</v>
      </c>
      <c r="I38">
        <f>VLOOKUP(H38,LookupTables!$E$2:$F$18,2)</f>
        <v>17</v>
      </c>
      <c r="J38" s="1">
        <f t="shared" si="8"/>
        <v>5500</v>
      </c>
      <c r="K38">
        <f>VLOOKUP(J38,LookupTables!$E$2:$F$18,2)</f>
        <v>23</v>
      </c>
      <c r="L38">
        <f t="shared" si="9"/>
        <v>2750</v>
      </c>
      <c r="M38">
        <f>VLOOKUP(L38,LookupTables!$E$2:$F$18,2)</f>
        <v>17</v>
      </c>
      <c r="N38">
        <f t="shared" si="10"/>
        <v>3000</v>
      </c>
      <c r="O38">
        <f>VLOOKUP(N38,LookupTables!$E$2:$F$18,2)</f>
        <v>19</v>
      </c>
      <c r="P38" s="1">
        <f t="shared" si="11"/>
        <v>5500</v>
      </c>
      <c r="Q38">
        <f>VLOOKUP(P38,LookupTables!$E$2:$F$18,2)</f>
        <v>23</v>
      </c>
      <c r="R38">
        <f t="shared" si="12"/>
        <v>2750</v>
      </c>
      <c r="S38">
        <f>VLOOKUP(R38,LookupTables!$E$2:$F$18,2)</f>
        <v>17</v>
      </c>
      <c r="T38">
        <f t="shared" si="13"/>
        <v>3000</v>
      </c>
      <c r="U38">
        <f>VLOOKUP(T38,LookupTables!$E$2:$F$18,2)</f>
        <v>19</v>
      </c>
    </row>
    <row r="39" spans="1:21" x14ac:dyDescent="0.2">
      <c r="A39" t="s">
        <v>49</v>
      </c>
      <c r="B39">
        <v>5</v>
      </c>
      <c r="C39" s="2" t="s">
        <v>125</v>
      </c>
      <c r="D39">
        <v>1000</v>
      </c>
      <c r="E39">
        <v>0</v>
      </c>
      <c r="F39" s="1">
        <f>VLOOKUP(Table3[[#This Row],[Level]],LookupTables!$A$2:$C$11,3)</f>
        <v>5000</v>
      </c>
      <c r="G39">
        <f>VLOOKUP(F39,LookupTables!$E$2:$F$18,2)</f>
        <v>23</v>
      </c>
      <c r="H39">
        <f t="shared" si="7"/>
        <v>2500</v>
      </c>
      <c r="I39">
        <f>VLOOKUP(H39,LookupTables!$E$2:$F$18,2)</f>
        <v>17</v>
      </c>
      <c r="J39" s="1">
        <f t="shared" si="8"/>
        <v>6000</v>
      </c>
      <c r="K39">
        <f>VLOOKUP(J39,LookupTables!$E$2:$F$18,2)</f>
        <v>23</v>
      </c>
      <c r="L39">
        <f t="shared" si="9"/>
        <v>3000</v>
      </c>
      <c r="M39">
        <f>VLOOKUP(L39,LookupTables!$E$2:$F$18,2)</f>
        <v>19</v>
      </c>
      <c r="N39">
        <f t="shared" si="10"/>
        <v>3500</v>
      </c>
      <c r="O39">
        <f>VLOOKUP(N39,LookupTables!$E$2:$F$18,2)</f>
        <v>21</v>
      </c>
      <c r="P39" s="1">
        <f t="shared" si="11"/>
        <v>6000</v>
      </c>
      <c r="Q39">
        <f>VLOOKUP(P39,LookupTables!$E$2:$F$18,2)</f>
        <v>23</v>
      </c>
      <c r="R39">
        <f t="shared" si="12"/>
        <v>3000</v>
      </c>
      <c r="S39">
        <f>VLOOKUP(R39,LookupTables!$E$2:$F$18,2)</f>
        <v>19</v>
      </c>
      <c r="T39">
        <f t="shared" si="13"/>
        <v>3500</v>
      </c>
      <c r="U39">
        <f>VLOOKUP(T39,LookupTables!$E$2:$F$18,2)</f>
        <v>21</v>
      </c>
    </row>
    <row r="40" spans="1:21" ht="25.5" x14ac:dyDescent="0.2">
      <c r="A40" t="s">
        <v>52</v>
      </c>
      <c r="B40">
        <v>5</v>
      </c>
      <c r="C40" s="2" t="s">
        <v>128</v>
      </c>
      <c r="D40">
        <v>0</v>
      </c>
      <c r="E40">
        <v>1000</v>
      </c>
      <c r="F40" s="1">
        <f>VLOOKUP(Table3[[#This Row],[Level]],LookupTables!$A$2:$C$11,3)</f>
        <v>5000</v>
      </c>
      <c r="G40">
        <f>VLOOKUP(F40,LookupTables!$E$2:$F$18,2)</f>
        <v>23</v>
      </c>
      <c r="H40">
        <f t="shared" si="7"/>
        <v>2500</v>
      </c>
      <c r="I40">
        <f>VLOOKUP(H40,LookupTables!$E$2:$F$18,2)</f>
        <v>17</v>
      </c>
      <c r="J40" s="1">
        <f t="shared" si="8"/>
        <v>5000</v>
      </c>
      <c r="K40">
        <f>VLOOKUP(J40,LookupTables!$E$2:$F$18,2)</f>
        <v>23</v>
      </c>
      <c r="L40">
        <f t="shared" si="9"/>
        <v>2500</v>
      </c>
      <c r="M40">
        <f>VLOOKUP(L40,LookupTables!$E$2:$F$18,2)</f>
        <v>17</v>
      </c>
      <c r="N40">
        <f t="shared" si="10"/>
        <v>2500</v>
      </c>
      <c r="O40">
        <f>VLOOKUP(N40,LookupTables!$E$2:$F$18,2)</f>
        <v>17</v>
      </c>
      <c r="P40" s="1">
        <f t="shared" si="11"/>
        <v>6000</v>
      </c>
      <c r="Q40">
        <f>VLOOKUP(P40,LookupTables!$E$2:$F$18,2)</f>
        <v>23</v>
      </c>
      <c r="R40">
        <f t="shared" si="12"/>
        <v>3000</v>
      </c>
      <c r="S40">
        <f>VLOOKUP(R40,LookupTables!$E$2:$F$18,2)</f>
        <v>19</v>
      </c>
      <c r="T40">
        <f t="shared" si="13"/>
        <v>3500</v>
      </c>
      <c r="U40">
        <f>VLOOKUP(T40,LookupTables!$E$2:$F$18,2)</f>
        <v>21</v>
      </c>
    </row>
    <row r="41" spans="1:21" x14ac:dyDescent="0.2">
      <c r="A41" t="s">
        <v>56</v>
      </c>
      <c r="B41">
        <v>5</v>
      </c>
      <c r="C41" s="2" t="s">
        <v>107</v>
      </c>
      <c r="D41">
        <v>0</v>
      </c>
      <c r="E41">
        <v>100</v>
      </c>
      <c r="F41" s="1">
        <f>VLOOKUP(Table3[[#This Row],[Level]],LookupTables!$A$2:$C$11,3)</f>
        <v>5000</v>
      </c>
      <c r="G41">
        <f>VLOOKUP(F41,LookupTables!$E$2:$F$18,2)</f>
        <v>23</v>
      </c>
      <c r="H41">
        <f t="shared" si="7"/>
        <v>2500</v>
      </c>
      <c r="I41">
        <f>VLOOKUP(H41,LookupTables!$E$2:$F$18,2)</f>
        <v>17</v>
      </c>
      <c r="J41" s="1">
        <f t="shared" si="8"/>
        <v>5000</v>
      </c>
      <c r="K41">
        <f>VLOOKUP(J41,LookupTables!$E$2:$F$18,2)</f>
        <v>23</v>
      </c>
      <c r="L41">
        <f t="shared" si="9"/>
        <v>2500</v>
      </c>
      <c r="M41">
        <f>VLOOKUP(L41,LookupTables!$E$2:$F$18,2)</f>
        <v>17</v>
      </c>
      <c r="N41">
        <f t="shared" si="10"/>
        <v>2500</v>
      </c>
      <c r="O41">
        <f>VLOOKUP(N41,LookupTables!$E$2:$F$18,2)</f>
        <v>17</v>
      </c>
      <c r="P41" s="1">
        <f t="shared" si="11"/>
        <v>5100</v>
      </c>
      <c r="Q41">
        <f>VLOOKUP(P41,LookupTables!$E$2:$F$18,2)</f>
        <v>23</v>
      </c>
      <c r="R41">
        <f t="shared" si="12"/>
        <v>2550</v>
      </c>
      <c r="S41">
        <f>VLOOKUP(R41,LookupTables!$E$2:$F$18,2)</f>
        <v>17</v>
      </c>
      <c r="T41">
        <f t="shared" si="13"/>
        <v>2600</v>
      </c>
      <c r="U41">
        <f>VLOOKUP(T41,LookupTables!$E$2:$F$18,2)</f>
        <v>17</v>
      </c>
    </row>
    <row r="42" spans="1:21" x14ac:dyDescent="0.2">
      <c r="A42" t="s">
        <v>60</v>
      </c>
      <c r="B42">
        <v>5</v>
      </c>
      <c r="C42" s="2" t="s">
        <v>134</v>
      </c>
      <c r="D42">
        <v>0</v>
      </c>
      <c r="E42">
        <v>500</v>
      </c>
      <c r="F42" s="1">
        <f>VLOOKUP(Table3[[#This Row],[Level]],LookupTables!$A$2:$C$11,3)</f>
        <v>5000</v>
      </c>
      <c r="G42">
        <f>VLOOKUP(F42,LookupTables!$E$2:$F$18,2)</f>
        <v>23</v>
      </c>
      <c r="H42">
        <f t="shared" si="7"/>
        <v>2500</v>
      </c>
      <c r="I42">
        <f>VLOOKUP(H42,LookupTables!$E$2:$F$18,2)</f>
        <v>17</v>
      </c>
      <c r="J42" s="1">
        <f t="shared" si="8"/>
        <v>5000</v>
      </c>
      <c r="K42">
        <f>VLOOKUP(J42,LookupTables!$E$2:$F$18,2)</f>
        <v>23</v>
      </c>
      <c r="L42">
        <f t="shared" si="9"/>
        <v>2500</v>
      </c>
      <c r="M42">
        <f>VLOOKUP(L42,LookupTables!$E$2:$F$18,2)</f>
        <v>17</v>
      </c>
      <c r="N42">
        <f t="shared" si="10"/>
        <v>2500</v>
      </c>
      <c r="O42">
        <f>VLOOKUP(N42,LookupTables!$E$2:$F$18,2)</f>
        <v>17</v>
      </c>
      <c r="P42" s="1">
        <f t="shared" si="11"/>
        <v>5500</v>
      </c>
      <c r="Q42">
        <f>VLOOKUP(P42,LookupTables!$E$2:$F$18,2)</f>
        <v>23</v>
      </c>
      <c r="R42">
        <f t="shared" si="12"/>
        <v>2750</v>
      </c>
      <c r="S42">
        <f>VLOOKUP(R42,LookupTables!$E$2:$F$18,2)</f>
        <v>17</v>
      </c>
      <c r="T42">
        <f t="shared" si="13"/>
        <v>3000</v>
      </c>
      <c r="U42">
        <f>VLOOKUP(T42,LookupTables!$E$2:$F$18,2)</f>
        <v>19</v>
      </c>
    </row>
    <row r="43" spans="1:21" x14ac:dyDescent="0.2">
      <c r="A43" t="s">
        <v>62</v>
      </c>
      <c r="B43">
        <v>5</v>
      </c>
      <c r="C43" s="2" t="s">
        <v>136</v>
      </c>
      <c r="D43">
        <v>0</v>
      </c>
      <c r="E43">
        <v>500</v>
      </c>
      <c r="F43" s="1">
        <f>VLOOKUP(Table3[[#This Row],[Level]],LookupTables!$A$2:$C$11,3)</f>
        <v>5000</v>
      </c>
      <c r="G43">
        <f>VLOOKUP(F43,LookupTables!$E$2:$F$18,2)</f>
        <v>23</v>
      </c>
      <c r="H43">
        <f t="shared" si="7"/>
        <v>2500</v>
      </c>
      <c r="I43">
        <f>VLOOKUP(H43,LookupTables!$E$2:$F$18,2)</f>
        <v>17</v>
      </c>
      <c r="J43" s="1">
        <f t="shared" si="8"/>
        <v>5000</v>
      </c>
      <c r="K43">
        <f>VLOOKUP(J43,LookupTables!$E$2:$F$18,2)</f>
        <v>23</v>
      </c>
      <c r="L43">
        <f t="shared" si="9"/>
        <v>2500</v>
      </c>
      <c r="M43">
        <f>VLOOKUP(L43,LookupTables!$E$2:$F$18,2)</f>
        <v>17</v>
      </c>
      <c r="N43">
        <f t="shared" si="10"/>
        <v>2500</v>
      </c>
      <c r="O43">
        <f>VLOOKUP(N43,LookupTables!$E$2:$F$18,2)</f>
        <v>17</v>
      </c>
      <c r="P43" s="1">
        <f t="shared" si="11"/>
        <v>5500</v>
      </c>
      <c r="Q43">
        <f>VLOOKUP(P43,LookupTables!$E$2:$F$18,2)</f>
        <v>23</v>
      </c>
      <c r="R43">
        <f t="shared" si="12"/>
        <v>2750</v>
      </c>
      <c r="S43">
        <f>VLOOKUP(R43,LookupTables!$E$2:$F$18,2)</f>
        <v>17</v>
      </c>
      <c r="T43">
        <f t="shared" si="13"/>
        <v>3000</v>
      </c>
      <c r="U43">
        <f>VLOOKUP(T43,LookupTables!$E$2:$F$18,2)</f>
        <v>19</v>
      </c>
    </row>
    <row r="44" spans="1:21" x14ac:dyDescent="0.2">
      <c r="A44" t="s">
        <v>67</v>
      </c>
      <c r="B44">
        <v>5</v>
      </c>
      <c r="C44" s="2" t="s">
        <v>141</v>
      </c>
      <c r="D44">
        <v>0</v>
      </c>
      <c r="E44">
        <v>1</v>
      </c>
      <c r="F44" s="1">
        <f>VLOOKUP(Table3[[#This Row],[Level]],LookupTables!$A$2:$C$11,3)</f>
        <v>5000</v>
      </c>
      <c r="G44">
        <f>VLOOKUP(F44,LookupTables!$E$2:$F$18,2)</f>
        <v>23</v>
      </c>
      <c r="H44">
        <f t="shared" si="7"/>
        <v>2500</v>
      </c>
      <c r="I44">
        <f>VLOOKUP(H44,LookupTables!$E$2:$F$18,2)</f>
        <v>17</v>
      </c>
      <c r="J44" s="1">
        <f t="shared" si="8"/>
        <v>5000</v>
      </c>
      <c r="K44">
        <f>VLOOKUP(J44,LookupTables!$E$2:$F$18,2)</f>
        <v>23</v>
      </c>
      <c r="L44">
        <f t="shared" si="9"/>
        <v>2500</v>
      </c>
      <c r="M44">
        <f>VLOOKUP(L44,LookupTables!$E$2:$F$18,2)</f>
        <v>17</v>
      </c>
      <c r="N44">
        <f t="shared" si="10"/>
        <v>2500</v>
      </c>
      <c r="O44">
        <f>VLOOKUP(N44,LookupTables!$E$2:$F$18,2)</f>
        <v>17</v>
      </c>
      <c r="P44" s="1">
        <f t="shared" si="11"/>
        <v>5001</v>
      </c>
      <c r="Q44">
        <f>VLOOKUP(P44,LookupTables!$E$2:$F$18,2)</f>
        <v>23</v>
      </c>
      <c r="R44">
        <f t="shared" si="12"/>
        <v>2500.5</v>
      </c>
      <c r="S44">
        <f>VLOOKUP(R44,LookupTables!$E$2:$F$18,2)</f>
        <v>17</v>
      </c>
      <c r="T44">
        <f t="shared" si="13"/>
        <v>2501</v>
      </c>
      <c r="U44">
        <f>VLOOKUP(T44,LookupTables!$E$2:$F$18,2)</f>
        <v>17</v>
      </c>
    </row>
    <row r="45" spans="1:21" x14ac:dyDescent="0.2">
      <c r="A45" t="s">
        <v>70</v>
      </c>
      <c r="B45">
        <v>5</v>
      </c>
      <c r="C45" s="2" t="s">
        <v>144</v>
      </c>
      <c r="D45">
        <v>50</v>
      </c>
      <c r="E45">
        <v>0</v>
      </c>
      <c r="F45" s="1">
        <f>VLOOKUP(Table3[[#This Row],[Level]],LookupTables!$A$2:$C$11,3)</f>
        <v>5000</v>
      </c>
      <c r="G45">
        <f>VLOOKUP(F45,LookupTables!$E$2:$F$18,2)</f>
        <v>23</v>
      </c>
      <c r="H45">
        <f t="shared" si="7"/>
        <v>2500</v>
      </c>
      <c r="I45">
        <f>VLOOKUP(H45,LookupTables!$E$2:$F$18,2)</f>
        <v>17</v>
      </c>
      <c r="J45" s="1">
        <f t="shared" si="8"/>
        <v>5050</v>
      </c>
      <c r="K45">
        <f>VLOOKUP(J45,LookupTables!$E$2:$F$18,2)</f>
        <v>23</v>
      </c>
      <c r="L45">
        <f t="shared" si="9"/>
        <v>2525</v>
      </c>
      <c r="M45">
        <f>VLOOKUP(L45,LookupTables!$E$2:$F$18,2)</f>
        <v>17</v>
      </c>
      <c r="N45">
        <f t="shared" si="10"/>
        <v>2550</v>
      </c>
      <c r="O45">
        <f>VLOOKUP(N45,LookupTables!$E$2:$F$18,2)</f>
        <v>17</v>
      </c>
      <c r="P45" s="1">
        <f t="shared" si="11"/>
        <v>5050</v>
      </c>
      <c r="Q45">
        <f>VLOOKUP(P45,LookupTables!$E$2:$F$18,2)</f>
        <v>23</v>
      </c>
      <c r="R45">
        <f t="shared" si="12"/>
        <v>2525</v>
      </c>
      <c r="S45">
        <f>VLOOKUP(R45,LookupTables!$E$2:$F$18,2)</f>
        <v>17</v>
      </c>
      <c r="T45">
        <f t="shared" si="13"/>
        <v>2550</v>
      </c>
      <c r="U45">
        <f>VLOOKUP(T45,LookupTables!$E$2:$F$18,2)</f>
        <v>17</v>
      </c>
    </row>
    <row r="46" spans="1:21" x14ac:dyDescent="0.2">
      <c r="A46" t="s">
        <v>8</v>
      </c>
      <c r="B46">
        <v>6</v>
      </c>
      <c r="C46" s="2" t="s">
        <v>84</v>
      </c>
      <c r="D46">
        <v>0</v>
      </c>
      <c r="E46">
        <v>500</v>
      </c>
      <c r="F46" s="1">
        <f>VLOOKUP(Table3[[#This Row],[Level]],LookupTables!$A$2:$C$11,3)</f>
        <v>15000</v>
      </c>
      <c r="G46">
        <f>VLOOKUP(F46,LookupTables!$E$2:$F$18,2)</f>
        <v>27</v>
      </c>
      <c r="H46">
        <f t="shared" si="7"/>
        <v>7500</v>
      </c>
      <c r="I46">
        <f>VLOOKUP(H46,LookupTables!$E$2:$F$18,2)</f>
        <v>23</v>
      </c>
      <c r="J46" s="1">
        <f t="shared" si="8"/>
        <v>15000</v>
      </c>
      <c r="K46">
        <f>VLOOKUP(J46,LookupTables!$E$2:$F$18,2)</f>
        <v>27</v>
      </c>
      <c r="L46">
        <f t="shared" si="9"/>
        <v>7500</v>
      </c>
      <c r="M46">
        <f>VLOOKUP(L46,LookupTables!$E$2:$F$18,2)</f>
        <v>23</v>
      </c>
      <c r="N46">
        <f t="shared" si="10"/>
        <v>7500</v>
      </c>
      <c r="O46">
        <f>VLOOKUP(N46,LookupTables!$E$2:$F$18,2)</f>
        <v>23</v>
      </c>
      <c r="P46" s="1">
        <f t="shared" si="11"/>
        <v>15500</v>
      </c>
      <c r="Q46">
        <f>VLOOKUP(P46,LookupTables!$E$2:$F$18,2)</f>
        <v>27</v>
      </c>
      <c r="R46">
        <f t="shared" si="12"/>
        <v>7750</v>
      </c>
      <c r="S46">
        <f>VLOOKUP(R46,LookupTables!$E$2:$F$18,2)</f>
        <v>23</v>
      </c>
      <c r="T46">
        <f t="shared" si="13"/>
        <v>8000</v>
      </c>
      <c r="U46">
        <f>VLOOKUP(T46,LookupTables!$E$2:$F$18,2)</f>
        <v>25</v>
      </c>
    </row>
    <row r="47" spans="1:21" x14ac:dyDescent="0.2">
      <c r="A47" t="s">
        <v>11</v>
      </c>
      <c r="B47">
        <v>6</v>
      </c>
      <c r="C47" s="2" t="s">
        <v>87</v>
      </c>
      <c r="D47">
        <v>0</v>
      </c>
      <c r="E47">
        <v>1500</v>
      </c>
      <c r="F47" s="1">
        <f>VLOOKUP(Table3[[#This Row],[Level]],LookupTables!$A$2:$C$11,3)</f>
        <v>15000</v>
      </c>
      <c r="G47">
        <f>VLOOKUP(F47,LookupTables!$E$2:$F$18,2)</f>
        <v>27</v>
      </c>
      <c r="H47">
        <f t="shared" si="7"/>
        <v>7500</v>
      </c>
      <c r="I47">
        <f>VLOOKUP(H47,LookupTables!$E$2:$F$18,2)</f>
        <v>23</v>
      </c>
      <c r="J47" s="1">
        <f t="shared" si="8"/>
        <v>15000</v>
      </c>
      <c r="K47">
        <f>VLOOKUP(J47,LookupTables!$E$2:$F$18,2)</f>
        <v>27</v>
      </c>
      <c r="L47">
        <f t="shared" si="9"/>
        <v>7500</v>
      </c>
      <c r="M47">
        <f>VLOOKUP(L47,LookupTables!$E$2:$F$18,2)</f>
        <v>23</v>
      </c>
      <c r="N47">
        <f t="shared" si="10"/>
        <v>7500</v>
      </c>
      <c r="O47">
        <f>VLOOKUP(N47,LookupTables!$E$2:$F$18,2)</f>
        <v>23</v>
      </c>
      <c r="P47" s="1">
        <f t="shared" si="11"/>
        <v>16500</v>
      </c>
      <c r="Q47">
        <f>VLOOKUP(P47,LookupTables!$E$2:$F$18,2)</f>
        <v>29</v>
      </c>
      <c r="R47">
        <f t="shared" si="12"/>
        <v>8250</v>
      </c>
      <c r="S47">
        <f>VLOOKUP(R47,LookupTables!$E$2:$F$18,2)</f>
        <v>25</v>
      </c>
      <c r="T47">
        <f t="shared" si="13"/>
        <v>9000</v>
      </c>
      <c r="U47">
        <f>VLOOKUP(T47,LookupTables!$E$2:$F$18,2)</f>
        <v>25</v>
      </c>
    </row>
    <row r="48" spans="1:21" x14ac:dyDescent="0.2">
      <c r="A48" t="s">
        <v>13</v>
      </c>
      <c r="B48">
        <v>6</v>
      </c>
      <c r="C48" s="2" t="s">
        <v>89</v>
      </c>
      <c r="D48">
        <v>0</v>
      </c>
      <c r="E48">
        <v>150</v>
      </c>
      <c r="F48" s="1">
        <f>VLOOKUP(Table3[[#This Row],[Level]],LookupTables!$A$2:$C$11,3)</f>
        <v>15000</v>
      </c>
      <c r="G48">
        <f>VLOOKUP(F48,LookupTables!$E$2:$F$18,2)</f>
        <v>27</v>
      </c>
      <c r="H48">
        <f t="shared" si="7"/>
        <v>7500</v>
      </c>
      <c r="I48">
        <f>VLOOKUP(H48,LookupTables!$E$2:$F$18,2)</f>
        <v>23</v>
      </c>
      <c r="J48" s="1">
        <f t="shared" si="8"/>
        <v>15000</v>
      </c>
      <c r="K48">
        <f>VLOOKUP(J48,LookupTables!$E$2:$F$18,2)</f>
        <v>27</v>
      </c>
      <c r="L48">
        <f t="shared" si="9"/>
        <v>7500</v>
      </c>
      <c r="M48">
        <f>VLOOKUP(L48,LookupTables!$E$2:$F$18,2)</f>
        <v>23</v>
      </c>
      <c r="N48">
        <f t="shared" si="10"/>
        <v>7500</v>
      </c>
      <c r="O48">
        <f>VLOOKUP(N48,LookupTables!$E$2:$F$18,2)</f>
        <v>23</v>
      </c>
      <c r="P48" s="1">
        <f t="shared" si="11"/>
        <v>15150</v>
      </c>
      <c r="Q48">
        <f>VLOOKUP(P48,LookupTables!$E$2:$F$18,2)</f>
        <v>27</v>
      </c>
      <c r="R48">
        <f t="shared" si="12"/>
        <v>7575</v>
      </c>
      <c r="S48">
        <f>VLOOKUP(R48,LookupTables!$E$2:$F$18,2)</f>
        <v>23</v>
      </c>
      <c r="T48">
        <f t="shared" si="13"/>
        <v>7650</v>
      </c>
      <c r="U48">
        <f>VLOOKUP(T48,LookupTables!$E$2:$F$18,2)</f>
        <v>23</v>
      </c>
    </row>
    <row r="49" spans="1:21" x14ac:dyDescent="0.2">
      <c r="A49" t="s">
        <v>17</v>
      </c>
      <c r="B49">
        <v>6</v>
      </c>
      <c r="C49" s="2" t="s">
        <v>93</v>
      </c>
      <c r="D49">
        <v>0</v>
      </c>
      <c r="E49">
        <v>1000</v>
      </c>
      <c r="F49" s="1">
        <f>VLOOKUP(Table3[[#This Row],[Level]],LookupTables!$A$2:$C$11,3)</f>
        <v>15000</v>
      </c>
      <c r="G49">
        <f>VLOOKUP(F49,LookupTables!$E$2:$F$18,2)</f>
        <v>27</v>
      </c>
      <c r="H49">
        <f t="shared" si="7"/>
        <v>7500</v>
      </c>
      <c r="I49">
        <f>VLOOKUP(H49,LookupTables!$E$2:$F$18,2)</f>
        <v>23</v>
      </c>
      <c r="J49" s="1">
        <f t="shared" si="8"/>
        <v>15000</v>
      </c>
      <c r="K49">
        <f>VLOOKUP(J49,LookupTables!$E$2:$F$18,2)</f>
        <v>27</v>
      </c>
      <c r="L49">
        <f t="shared" si="9"/>
        <v>7500</v>
      </c>
      <c r="M49">
        <f>VLOOKUP(L49,LookupTables!$E$2:$F$18,2)</f>
        <v>23</v>
      </c>
      <c r="N49">
        <f t="shared" si="10"/>
        <v>7500</v>
      </c>
      <c r="O49">
        <f>VLOOKUP(N49,LookupTables!$E$2:$F$18,2)</f>
        <v>23</v>
      </c>
      <c r="P49" s="1">
        <f t="shared" si="11"/>
        <v>16000</v>
      </c>
      <c r="Q49">
        <f>VLOOKUP(P49,LookupTables!$E$2:$F$18,2)</f>
        <v>29</v>
      </c>
      <c r="R49">
        <f t="shared" si="12"/>
        <v>8000</v>
      </c>
      <c r="S49">
        <f>VLOOKUP(R49,LookupTables!$E$2:$F$18,2)</f>
        <v>25</v>
      </c>
      <c r="T49">
        <f t="shared" si="13"/>
        <v>8500</v>
      </c>
      <c r="U49">
        <f>VLOOKUP(T49,LookupTables!$E$2:$F$18,2)</f>
        <v>25</v>
      </c>
    </row>
    <row r="50" spans="1:21" x14ac:dyDescent="0.2">
      <c r="A50" t="s">
        <v>18</v>
      </c>
      <c r="B50">
        <v>6</v>
      </c>
      <c r="C50" s="2" t="s">
        <v>94</v>
      </c>
      <c r="D50">
        <v>0</v>
      </c>
      <c r="E50">
        <v>1000</v>
      </c>
      <c r="F50" s="1">
        <f>VLOOKUP(Table3[[#This Row],[Level]],LookupTables!$A$2:$C$11,3)</f>
        <v>15000</v>
      </c>
      <c r="G50">
        <f>VLOOKUP(F50,LookupTables!$E$2:$F$18,2)</f>
        <v>27</v>
      </c>
      <c r="H50">
        <f t="shared" si="7"/>
        <v>7500</v>
      </c>
      <c r="I50">
        <f>VLOOKUP(H50,LookupTables!$E$2:$F$18,2)</f>
        <v>23</v>
      </c>
      <c r="J50" s="1">
        <f t="shared" si="8"/>
        <v>15000</v>
      </c>
      <c r="K50">
        <f>VLOOKUP(J50,LookupTables!$E$2:$F$18,2)</f>
        <v>27</v>
      </c>
      <c r="L50">
        <f t="shared" si="9"/>
        <v>7500</v>
      </c>
      <c r="M50">
        <f>VLOOKUP(L50,LookupTables!$E$2:$F$18,2)</f>
        <v>23</v>
      </c>
      <c r="N50">
        <f t="shared" si="10"/>
        <v>7500</v>
      </c>
      <c r="O50">
        <f>VLOOKUP(N50,LookupTables!$E$2:$F$18,2)</f>
        <v>23</v>
      </c>
      <c r="P50" s="1">
        <f t="shared" si="11"/>
        <v>16000</v>
      </c>
      <c r="Q50">
        <f>VLOOKUP(P50,LookupTables!$E$2:$F$18,2)</f>
        <v>29</v>
      </c>
      <c r="R50">
        <f t="shared" si="12"/>
        <v>8000</v>
      </c>
      <c r="S50">
        <f>VLOOKUP(R50,LookupTables!$E$2:$F$18,2)</f>
        <v>25</v>
      </c>
      <c r="T50">
        <f t="shared" si="13"/>
        <v>8500</v>
      </c>
      <c r="U50">
        <f>VLOOKUP(T50,LookupTables!$E$2:$F$18,2)</f>
        <v>25</v>
      </c>
    </row>
    <row r="51" spans="1:21" x14ac:dyDescent="0.2">
      <c r="A51" t="s">
        <v>20</v>
      </c>
      <c r="B51">
        <v>6</v>
      </c>
      <c r="C51" s="2" t="s">
        <v>96</v>
      </c>
      <c r="D51">
        <v>0</v>
      </c>
      <c r="E51">
        <v>100</v>
      </c>
      <c r="F51" s="1">
        <f>VLOOKUP(Table3[[#This Row],[Level]],LookupTables!$A$2:$C$11,3)</f>
        <v>15000</v>
      </c>
      <c r="G51">
        <f>VLOOKUP(F51,LookupTables!$E$2:$F$18,2)</f>
        <v>27</v>
      </c>
      <c r="H51">
        <f t="shared" si="7"/>
        <v>7500</v>
      </c>
      <c r="I51">
        <f>VLOOKUP(H51,LookupTables!$E$2:$F$18,2)</f>
        <v>23</v>
      </c>
      <c r="J51" s="1">
        <f t="shared" si="8"/>
        <v>15000</v>
      </c>
      <c r="K51">
        <f>VLOOKUP(J51,LookupTables!$E$2:$F$18,2)</f>
        <v>27</v>
      </c>
      <c r="L51">
        <f t="shared" si="9"/>
        <v>7500</v>
      </c>
      <c r="M51">
        <f>VLOOKUP(L51,LookupTables!$E$2:$F$18,2)</f>
        <v>23</v>
      </c>
      <c r="N51">
        <f t="shared" si="10"/>
        <v>7500</v>
      </c>
      <c r="O51">
        <f>VLOOKUP(N51,LookupTables!$E$2:$F$18,2)</f>
        <v>23</v>
      </c>
      <c r="P51" s="1">
        <f t="shared" si="11"/>
        <v>15100</v>
      </c>
      <c r="Q51">
        <f>VLOOKUP(P51,LookupTables!$E$2:$F$18,2)</f>
        <v>27</v>
      </c>
      <c r="R51">
        <f t="shared" si="12"/>
        <v>7550</v>
      </c>
      <c r="S51">
        <f>VLOOKUP(R51,LookupTables!$E$2:$F$18,2)</f>
        <v>23</v>
      </c>
      <c r="T51">
        <f t="shared" si="13"/>
        <v>7600</v>
      </c>
      <c r="U51">
        <f>VLOOKUP(T51,LookupTables!$E$2:$F$18,2)</f>
        <v>23</v>
      </c>
    </row>
    <row r="52" spans="1:21" x14ac:dyDescent="0.2">
      <c r="A52" t="s">
        <v>21</v>
      </c>
      <c r="B52">
        <v>6</v>
      </c>
      <c r="C52" s="2" t="s">
        <v>97</v>
      </c>
      <c r="D52">
        <v>0</v>
      </c>
      <c r="E52">
        <v>1000</v>
      </c>
      <c r="F52" s="1">
        <f>VLOOKUP(Table3[[#This Row],[Level]],LookupTables!$A$2:$C$11,3)</f>
        <v>15000</v>
      </c>
      <c r="G52">
        <f>VLOOKUP(F52,LookupTables!$E$2:$F$18,2)</f>
        <v>27</v>
      </c>
      <c r="H52">
        <f t="shared" si="7"/>
        <v>7500</v>
      </c>
      <c r="I52">
        <f>VLOOKUP(H52,LookupTables!$E$2:$F$18,2)</f>
        <v>23</v>
      </c>
      <c r="J52" s="1">
        <f t="shared" si="8"/>
        <v>15000</v>
      </c>
      <c r="K52">
        <f>VLOOKUP(J52,LookupTables!$E$2:$F$18,2)</f>
        <v>27</v>
      </c>
      <c r="L52">
        <f t="shared" si="9"/>
        <v>7500</v>
      </c>
      <c r="M52">
        <f>VLOOKUP(L52,LookupTables!$E$2:$F$18,2)</f>
        <v>23</v>
      </c>
      <c r="N52">
        <f t="shared" si="10"/>
        <v>7500</v>
      </c>
      <c r="O52">
        <f>VLOOKUP(N52,LookupTables!$E$2:$F$18,2)</f>
        <v>23</v>
      </c>
      <c r="P52" s="1">
        <f t="shared" si="11"/>
        <v>16000</v>
      </c>
      <c r="Q52">
        <f>VLOOKUP(P52,LookupTables!$E$2:$F$18,2)</f>
        <v>29</v>
      </c>
      <c r="R52">
        <f t="shared" si="12"/>
        <v>8000</v>
      </c>
      <c r="S52">
        <f>VLOOKUP(R52,LookupTables!$E$2:$F$18,2)</f>
        <v>25</v>
      </c>
      <c r="T52">
        <f t="shared" si="13"/>
        <v>8500</v>
      </c>
      <c r="U52">
        <f>VLOOKUP(T52,LookupTables!$E$2:$F$18,2)</f>
        <v>25</v>
      </c>
    </row>
    <row r="53" spans="1:21" x14ac:dyDescent="0.2">
      <c r="A53" t="s">
        <v>26</v>
      </c>
      <c r="B53">
        <v>6</v>
      </c>
      <c r="C53" s="2" t="s">
        <v>102</v>
      </c>
      <c r="D53">
        <v>0</v>
      </c>
      <c r="E53">
        <v>10</v>
      </c>
      <c r="F53" s="1">
        <f>VLOOKUP(Table3[[#This Row],[Level]],LookupTables!$A$2:$C$11,3)</f>
        <v>15000</v>
      </c>
      <c r="G53">
        <f>VLOOKUP(F53,LookupTables!$E$2:$F$18,2)</f>
        <v>27</v>
      </c>
      <c r="H53">
        <f t="shared" si="7"/>
        <v>7500</v>
      </c>
      <c r="I53">
        <f>VLOOKUP(H53,LookupTables!$E$2:$F$18,2)</f>
        <v>23</v>
      </c>
      <c r="J53" s="1">
        <f t="shared" si="8"/>
        <v>15000</v>
      </c>
      <c r="K53">
        <f>VLOOKUP(J53,LookupTables!$E$2:$F$18,2)</f>
        <v>27</v>
      </c>
      <c r="L53">
        <f t="shared" si="9"/>
        <v>7500</v>
      </c>
      <c r="M53">
        <f>VLOOKUP(L53,LookupTables!$E$2:$F$18,2)</f>
        <v>23</v>
      </c>
      <c r="N53">
        <f t="shared" si="10"/>
        <v>7500</v>
      </c>
      <c r="O53">
        <f>VLOOKUP(N53,LookupTables!$E$2:$F$18,2)</f>
        <v>23</v>
      </c>
      <c r="P53" s="1">
        <f t="shared" si="11"/>
        <v>15010</v>
      </c>
      <c r="Q53">
        <f>VLOOKUP(P53,LookupTables!$E$2:$F$18,2)</f>
        <v>27</v>
      </c>
      <c r="R53">
        <f t="shared" si="12"/>
        <v>7505</v>
      </c>
      <c r="S53">
        <f>VLOOKUP(R53,LookupTables!$E$2:$F$18,2)</f>
        <v>23</v>
      </c>
      <c r="T53">
        <f t="shared" si="13"/>
        <v>7510</v>
      </c>
      <c r="U53">
        <f>VLOOKUP(T53,LookupTables!$E$2:$F$18,2)</f>
        <v>23</v>
      </c>
    </row>
    <row r="54" spans="1:21" x14ac:dyDescent="0.2">
      <c r="A54" t="s">
        <v>28</v>
      </c>
      <c r="B54">
        <v>6</v>
      </c>
      <c r="C54" s="2" t="s">
        <v>104</v>
      </c>
      <c r="D54">
        <v>1000</v>
      </c>
      <c r="E54">
        <v>0</v>
      </c>
      <c r="F54" s="1">
        <f>VLOOKUP(Table3[[#This Row],[Level]],LookupTables!$A$2:$C$11,3)</f>
        <v>15000</v>
      </c>
      <c r="G54">
        <f>VLOOKUP(F54,LookupTables!$E$2:$F$18,2)</f>
        <v>27</v>
      </c>
      <c r="H54">
        <f t="shared" si="7"/>
        <v>7500</v>
      </c>
      <c r="I54">
        <f>VLOOKUP(H54,LookupTables!$E$2:$F$18,2)</f>
        <v>23</v>
      </c>
      <c r="J54" s="1">
        <f t="shared" si="8"/>
        <v>16000</v>
      </c>
      <c r="K54">
        <f>VLOOKUP(J54,LookupTables!$E$2:$F$18,2)</f>
        <v>29</v>
      </c>
      <c r="L54">
        <f t="shared" si="9"/>
        <v>8000</v>
      </c>
      <c r="M54">
        <f>VLOOKUP(L54,LookupTables!$E$2:$F$18,2)</f>
        <v>25</v>
      </c>
      <c r="N54">
        <f t="shared" si="10"/>
        <v>8500</v>
      </c>
      <c r="O54">
        <f>VLOOKUP(N54,LookupTables!$E$2:$F$18,2)</f>
        <v>25</v>
      </c>
      <c r="P54" s="1">
        <f t="shared" si="11"/>
        <v>16000</v>
      </c>
      <c r="Q54">
        <f>VLOOKUP(P54,LookupTables!$E$2:$F$18,2)</f>
        <v>29</v>
      </c>
      <c r="R54">
        <f t="shared" si="12"/>
        <v>8000</v>
      </c>
      <c r="S54">
        <f>VLOOKUP(R54,LookupTables!$E$2:$F$18,2)</f>
        <v>25</v>
      </c>
      <c r="T54">
        <f t="shared" si="13"/>
        <v>8500</v>
      </c>
      <c r="U54">
        <f>VLOOKUP(T54,LookupTables!$E$2:$F$18,2)</f>
        <v>25</v>
      </c>
    </row>
    <row r="55" spans="1:21" x14ac:dyDescent="0.2">
      <c r="A55" t="s">
        <v>38</v>
      </c>
      <c r="B55">
        <v>6</v>
      </c>
      <c r="C55" s="2" t="s">
        <v>114</v>
      </c>
      <c r="D55">
        <v>0</v>
      </c>
      <c r="E55">
        <v>500</v>
      </c>
      <c r="F55" s="1">
        <f>VLOOKUP(Table3[[#This Row],[Level]],LookupTables!$A$2:$C$11,3)</f>
        <v>15000</v>
      </c>
      <c r="G55">
        <f>VLOOKUP(F55,LookupTables!$E$2:$F$18,2)</f>
        <v>27</v>
      </c>
      <c r="H55">
        <f t="shared" si="7"/>
        <v>7500</v>
      </c>
      <c r="I55">
        <f>VLOOKUP(H55,LookupTables!$E$2:$F$18,2)</f>
        <v>23</v>
      </c>
      <c r="J55" s="1">
        <f t="shared" si="8"/>
        <v>15000</v>
      </c>
      <c r="K55">
        <f>VLOOKUP(J55,LookupTables!$E$2:$F$18,2)</f>
        <v>27</v>
      </c>
      <c r="L55">
        <f t="shared" si="9"/>
        <v>7500</v>
      </c>
      <c r="M55">
        <f>VLOOKUP(L55,LookupTables!$E$2:$F$18,2)</f>
        <v>23</v>
      </c>
      <c r="N55">
        <f t="shared" si="10"/>
        <v>7500</v>
      </c>
      <c r="O55">
        <f>VLOOKUP(N55,LookupTables!$E$2:$F$18,2)</f>
        <v>23</v>
      </c>
      <c r="P55" s="1">
        <f t="shared" si="11"/>
        <v>15500</v>
      </c>
      <c r="Q55">
        <f>VLOOKUP(P55,LookupTables!$E$2:$F$18,2)</f>
        <v>27</v>
      </c>
      <c r="R55">
        <f t="shared" si="12"/>
        <v>7750</v>
      </c>
      <c r="S55">
        <f>VLOOKUP(R55,LookupTables!$E$2:$F$18,2)</f>
        <v>23</v>
      </c>
      <c r="T55">
        <f t="shared" si="13"/>
        <v>8000</v>
      </c>
      <c r="U55">
        <f>VLOOKUP(T55,LookupTables!$E$2:$F$18,2)</f>
        <v>25</v>
      </c>
    </row>
    <row r="56" spans="1:21" x14ac:dyDescent="0.2">
      <c r="A56" t="s">
        <v>45</v>
      </c>
      <c r="B56">
        <v>6</v>
      </c>
      <c r="C56" s="2" t="s">
        <v>121</v>
      </c>
      <c r="D56">
        <v>0</v>
      </c>
      <c r="E56">
        <v>25</v>
      </c>
      <c r="F56" s="1">
        <f>VLOOKUP(Table3[[#This Row],[Level]],LookupTables!$A$2:$C$11,3)</f>
        <v>15000</v>
      </c>
      <c r="G56">
        <f>VLOOKUP(F56,LookupTables!$E$2:$F$18,2)</f>
        <v>27</v>
      </c>
      <c r="H56">
        <f t="shared" si="7"/>
        <v>7500</v>
      </c>
      <c r="I56">
        <f>VLOOKUP(H56,LookupTables!$E$2:$F$18,2)</f>
        <v>23</v>
      </c>
      <c r="J56" s="1">
        <f t="shared" si="8"/>
        <v>15000</v>
      </c>
      <c r="K56">
        <f>VLOOKUP(J56,LookupTables!$E$2:$F$18,2)</f>
        <v>27</v>
      </c>
      <c r="L56">
        <f t="shared" si="9"/>
        <v>7500</v>
      </c>
      <c r="M56">
        <f>VLOOKUP(L56,LookupTables!$E$2:$F$18,2)</f>
        <v>23</v>
      </c>
      <c r="N56">
        <f t="shared" si="10"/>
        <v>7500</v>
      </c>
      <c r="O56">
        <f>VLOOKUP(N56,LookupTables!$E$2:$F$18,2)</f>
        <v>23</v>
      </c>
      <c r="P56" s="1">
        <f t="shared" si="11"/>
        <v>15025</v>
      </c>
      <c r="Q56">
        <f>VLOOKUP(P56,LookupTables!$E$2:$F$18,2)</f>
        <v>27</v>
      </c>
      <c r="R56">
        <f t="shared" si="12"/>
        <v>7512.5</v>
      </c>
      <c r="S56">
        <f>VLOOKUP(R56,LookupTables!$E$2:$F$18,2)</f>
        <v>23</v>
      </c>
      <c r="T56">
        <f t="shared" si="13"/>
        <v>7525</v>
      </c>
      <c r="U56">
        <f>VLOOKUP(T56,LookupTables!$E$2:$F$18,2)</f>
        <v>23</v>
      </c>
    </row>
    <row r="57" spans="1:21" x14ac:dyDescent="0.2">
      <c r="A57" t="s">
        <v>65</v>
      </c>
      <c r="B57">
        <v>6</v>
      </c>
      <c r="C57" s="2" t="s">
        <v>139</v>
      </c>
      <c r="D57">
        <v>0</v>
      </c>
      <c r="E57">
        <v>600</v>
      </c>
      <c r="F57" s="1">
        <f>VLOOKUP(Table3[[#This Row],[Level]],LookupTables!$A$2:$C$11,3)</f>
        <v>15000</v>
      </c>
      <c r="G57">
        <f>VLOOKUP(F57,LookupTables!$E$2:$F$18,2)</f>
        <v>27</v>
      </c>
      <c r="H57">
        <f t="shared" si="7"/>
        <v>7500</v>
      </c>
      <c r="I57">
        <f>VLOOKUP(H57,LookupTables!$E$2:$F$18,2)</f>
        <v>23</v>
      </c>
      <c r="J57" s="1">
        <f t="shared" si="8"/>
        <v>15000</v>
      </c>
      <c r="K57">
        <f>VLOOKUP(J57,LookupTables!$E$2:$F$18,2)</f>
        <v>27</v>
      </c>
      <c r="L57">
        <f t="shared" si="9"/>
        <v>7500</v>
      </c>
      <c r="M57">
        <f>VLOOKUP(L57,LookupTables!$E$2:$F$18,2)</f>
        <v>23</v>
      </c>
      <c r="N57">
        <f t="shared" si="10"/>
        <v>7500</v>
      </c>
      <c r="O57">
        <f>VLOOKUP(N57,LookupTables!$E$2:$F$18,2)</f>
        <v>23</v>
      </c>
      <c r="P57" s="1">
        <f t="shared" si="11"/>
        <v>15600</v>
      </c>
      <c r="Q57">
        <f>VLOOKUP(P57,LookupTables!$E$2:$F$18,2)</f>
        <v>27</v>
      </c>
      <c r="R57">
        <f t="shared" si="12"/>
        <v>7800</v>
      </c>
      <c r="S57">
        <f>VLOOKUP(R57,LookupTables!$E$2:$F$18,2)</f>
        <v>23</v>
      </c>
      <c r="T57">
        <f t="shared" si="13"/>
        <v>8100</v>
      </c>
      <c r="U57">
        <f>VLOOKUP(T57,LookupTables!$E$2:$F$18,2)</f>
        <v>25</v>
      </c>
    </row>
    <row r="58" spans="1:21" x14ac:dyDescent="0.2">
      <c r="A58" t="s">
        <v>69</v>
      </c>
      <c r="B58">
        <v>6</v>
      </c>
      <c r="C58" s="2" t="s">
        <v>143</v>
      </c>
      <c r="D58">
        <v>0</v>
      </c>
      <c r="E58">
        <v>500</v>
      </c>
      <c r="F58" s="1">
        <f>VLOOKUP(Table3[[#This Row],[Level]],LookupTables!$A$2:$C$11,3)</f>
        <v>15000</v>
      </c>
      <c r="G58">
        <f>VLOOKUP(F58,LookupTables!$E$2:$F$18,2)</f>
        <v>27</v>
      </c>
      <c r="H58">
        <f t="shared" si="7"/>
        <v>7500</v>
      </c>
      <c r="I58">
        <f>VLOOKUP(H58,LookupTables!$E$2:$F$18,2)</f>
        <v>23</v>
      </c>
      <c r="J58" s="1">
        <f t="shared" si="8"/>
        <v>15000</v>
      </c>
      <c r="K58">
        <f>VLOOKUP(J58,LookupTables!$E$2:$F$18,2)</f>
        <v>27</v>
      </c>
      <c r="L58">
        <f t="shared" si="9"/>
        <v>7500</v>
      </c>
      <c r="M58">
        <f>VLOOKUP(L58,LookupTables!$E$2:$F$18,2)</f>
        <v>23</v>
      </c>
      <c r="N58">
        <f t="shared" si="10"/>
        <v>7500</v>
      </c>
      <c r="O58">
        <f>VLOOKUP(N58,LookupTables!$E$2:$F$18,2)</f>
        <v>23</v>
      </c>
      <c r="P58" s="1">
        <f t="shared" si="11"/>
        <v>15500</v>
      </c>
      <c r="Q58">
        <f>VLOOKUP(P58,LookupTables!$E$2:$F$18,2)</f>
        <v>27</v>
      </c>
      <c r="R58">
        <f t="shared" si="12"/>
        <v>7750</v>
      </c>
      <c r="S58">
        <f>VLOOKUP(R58,LookupTables!$E$2:$F$18,2)</f>
        <v>23</v>
      </c>
      <c r="T58">
        <f t="shared" si="13"/>
        <v>8000</v>
      </c>
      <c r="U58">
        <f>VLOOKUP(T58,LookupTables!$E$2:$F$18,2)</f>
        <v>25</v>
      </c>
    </row>
    <row r="59" spans="1:21" x14ac:dyDescent="0.2">
      <c r="A59" t="s">
        <v>72</v>
      </c>
      <c r="B59">
        <v>6</v>
      </c>
      <c r="C59" s="2" t="s">
        <v>146</v>
      </c>
      <c r="D59">
        <v>25</v>
      </c>
      <c r="E59">
        <v>0</v>
      </c>
      <c r="F59" s="1">
        <f>VLOOKUP(Table3[[#This Row],[Level]],LookupTables!$A$2:$C$11,3)</f>
        <v>15000</v>
      </c>
      <c r="G59">
        <f>VLOOKUP(F59,LookupTables!$E$2:$F$18,2)</f>
        <v>27</v>
      </c>
      <c r="H59">
        <f t="shared" si="7"/>
        <v>7500</v>
      </c>
      <c r="I59">
        <f>VLOOKUP(H59,LookupTables!$E$2:$F$18,2)</f>
        <v>23</v>
      </c>
      <c r="J59" s="1">
        <f t="shared" si="8"/>
        <v>15025</v>
      </c>
      <c r="K59">
        <f>VLOOKUP(J59,LookupTables!$E$2:$F$18,2)</f>
        <v>27</v>
      </c>
      <c r="L59">
        <f t="shared" si="9"/>
        <v>7512.5</v>
      </c>
      <c r="M59">
        <f>VLOOKUP(L59,LookupTables!$E$2:$F$18,2)</f>
        <v>23</v>
      </c>
      <c r="N59">
        <f t="shared" si="10"/>
        <v>7525</v>
      </c>
      <c r="O59">
        <f>VLOOKUP(N59,LookupTables!$E$2:$F$18,2)</f>
        <v>23</v>
      </c>
      <c r="P59" s="1">
        <f t="shared" si="11"/>
        <v>15025</v>
      </c>
      <c r="Q59">
        <f>VLOOKUP(P59,LookupTables!$E$2:$F$18,2)</f>
        <v>27</v>
      </c>
      <c r="R59">
        <f t="shared" si="12"/>
        <v>7512.5</v>
      </c>
      <c r="S59">
        <f>VLOOKUP(R59,LookupTables!$E$2:$F$18,2)</f>
        <v>23</v>
      </c>
      <c r="T59">
        <f t="shared" si="13"/>
        <v>7525</v>
      </c>
      <c r="U59">
        <f>VLOOKUP(T59,LookupTables!$E$2:$F$18,2)</f>
        <v>23</v>
      </c>
    </row>
    <row r="60" spans="1:21" x14ac:dyDescent="0.2">
      <c r="A60" t="s">
        <v>22</v>
      </c>
      <c r="B60">
        <v>7</v>
      </c>
      <c r="C60" s="2" t="s">
        <v>98</v>
      </c>
      <c r="D60">
        <v>1500</v>
      </c>
      <c r="F60" s="1">
        <f>VLOOKUP(Table3[[#This Row],[Level]],LookupTables!$A$2:$C$11,3)</f>
        <v>25000</v>
      </c>
      <c r="G60">
        <f>VLOOKUP(F60,LookupTables!$E$2:$F$18,2)</f>
        <v>31</v>
      </c>
      <c r="H60">
        <f t="shared" si="7"/>
        <v>12500</v>
      </c>
      <c r="I60">
        <f>VLOOKUP(H60,LookupTables!$E$2:$F$18,2)</f>
        <v>27</v>
      </c>
      <c r="J60" s="1">
        <f t="shared" si="8"/>
        <v>26500</v>
      </c>
      <c r="K60">
        <f>VLOOKUP(J60,LookupTables!$E$2:$F$18,2)</f>
        <v>31</v>
      </c>
      <c r="L60">
        <f t="shared" si="9"/>
        <v>13250</v>
      </c>
      <c r="M60">
        <f>VLOOKUP(L60,LookupTables!$E$2:$F$18,2)</f>
        <v>27</v>
      </c>
      <c r="N60">
        <f t="shared" si="10"/>
        <v>14000</v>
      </c>
      <c r="O60">
        <f>VLOOKUP(N60,LookupTables!$E$2:$F$18,2)</f>
        <v>27</v>
      </c>
      <c r="P60" s="1">
        <f t="shared" si="11"/>
        <v>26500</v>
      </c>
      <c r="Q60">
        <f>VLOOKUP(P60,LookupTables!$E$2:$F$18,2)</f>
        <v>31</v>
      </c>
      <c r="R60">
        <f t="shared" si="12"/>
        <v>13250</v>
      </c>
      <c r="S60">
        <f>VLOOKUP(R60,LookupTables!$E$2:$F$18,2)</f>
        <v>27</v>
      </c>
      <c r="T60">
        <f t="shared" si="13"/>
        <v>14000</v>
      </c>
      <c r="U60">
        <f>VLOOKUP(T60,LookupTables!$E$2:$F$18,2)</f>
        <v>27</v>
      </c>
    </row>
    <row r="61" spans="1:21" x14ac:dyDescent="0.2">
      <c r="A61" t="s">
        <v>40</v>
      </c>
      <c r="B61">
        <v>7</v>
      </c>
      <c r="C61" s="2" t="s">
        <v>116</v>
      </c>
      <c r="D61">
        <v>0</v>
      </c>
      <c r="E61">
        <v>15</v>
      </c>
      <c r="F61" s="1">
        <f>VLOOKUP(Table3[[#This Row],[Level]],LookupTables!$A$2:$C$11,3)</f>
        <v>25000</v>
      </c>
      <c r="G61">
        <f>VLOOKUP(F61,LookupTables!$E$2:$F$18,2)</f>
        <v>31</v>
      </c>
      <c r="H61">
        <f t="shared" si="7"/>
        <v>12500</v>
      </c>
      <c r="I61">
        <f>VLOOKUP(H61,LookupTables!$E$2:$F$18,2)</f>
        <v>27</v>
      </c>
      <c r="J61" s="1">
        <f t="shared" si="8"/>
        <v>25000</v>
      </c>
      <c r="K61">
        <f>VLOOKUP(J61,LookupTables!$E$2:$F$18,2)</f>
        <v>31</v>
      </c>
      <c r="L61">
        <f t="shared" si="9"/>
        <v>12500</v>
      </c>
      <c r="M61">
        <f>VLOOKUP(L61,LookupTables!$E$2:$F$18,2)</f>
        <v>27</v>
      </c>
      <c r="N61">
        <f t="shared" si="10"/>
        <v>12500</v>
      </c>
      <c r="O61">
        <f>VLOOKUP(N61,LookupTables!$E$2:$F$18,2)</f>
        <v>27</v>
      </c>
      <c r="P61" s="1">
        <f t="shared" si="11"/>
        <v>25015</v>
      </c>
      <c r="Q61">
        <f>VLOOKUP(P61,LookupTables!$E$2:$F$18,2)</f>
        <v>31</v>
      </c>
      <c r="R61">
        <f t="shared" si="12"/>
        <v>12507.5</v>
      </c>
      <c r="S61">
        <f>VLOOKUP(R61,LookupTables!$E$2:$F$18,2)</f>
        <v>27</v>
      </c>
      <c r="T61">
        <f t="shared" si="13"/>
        <v>12515</v>
      </c>
      <c r="U61">
        <f>VLOOKUP(T61,LookupTables!$E$2:$F$18,2)</f>
        <v>27</v>
      </c>
    </row>
    <row r="62" spans="1:21" x14ac:dyDescent="0.2">
      <c r="A62" t="s">
        <v>41</v>
      </c>
      <c r="B62">
        <v>7</v>
      </c>
      <c r="C62" s="2" t="s">
        <v>117</v>
      </c>
      <c r="D62">
        <v>0</v>
      </c>
      <c r="E62">
        <v>250</v>
      </c>
      <c r="F62" s="1">
        <f>VLOOKUP(Table3[[#This Row],[Level]],LookupTables!$A$2:$C$11,3)</f>
        <v>25000</v>
      </c>
      <c r="G62">
        <f>VLOOKUP(F62,LookupTables!$E$2:$F$18,2)</f>
        <v>31</v>
      </c>
      <c r="H62">
        <f t="shared" si="7"/>
        <v>12500</v>
      </c>
      <c r="I62">
        <f>VLOOKUP(H62,LookupTables!$E$2:$F$18,2)</f>
        <v>27</v>
      </c>
      <c r="J62" s="1">
        <f t="shared" si="8"/>
        <v>25000</v>
      </c>
      <c r="K62">
        <f>VLOOKUP(J62,LookupTables!$E$2:$F$18,2)</f>
        <v>31</v>
      </c>
      <c r="L62">
        <f t="shared" si="9"/>
        <v>12500</v>
      </c>
      <c r="M62">
        <f>VLOOKUP(L62,LookupTables!$E$2:$F$18,2)</f>
        <v>27</v>
      </c>
      <c r="N62">
        <f t="shared" si="10"/>
        <v>12500</v>
      </c>
      <c r="O62">
        <f>VLOOKUP(N62,LookupTables!$E$2:$F$18,2)</f>
        <v>27</v>
      </c>
      <c r="P62" s="1">
        <f t="shared" si="11"/>
        <v>25250</v>
      </c>
      <c r="Q62">
        <f>VLOOKUP(P62,LookupTables!$E$2:$F$18,2)</f>
        <v>31</v>
      </c>
      <c r="R62">
        <f t="shared" si="12"/>
        <v>12625</v>
      </c>
      <c r="S62">
        <f>VLOOKUP(R62,LookupTables!$E$2:$F$18,2)</f>
        <v>27</v>
      </c>
      <c r="T62">
        <f t="shared" si="13"/>
        <v>12750</v>
      </c>
      <c r="U62">
        <f>VLOOKUP(T62,LookupTables!$E$2:$F$18,2)</f>
        <v>27</v>
      </c>
    </row>
    <row r="63" spans="1:21" ht="25.5" x14ac:dyDescent="0.2">
      <c r="A63" t="s">
        <v>44</v>
      </c>
      <c r="B63">
        <v>7</v>
      </c>
      <c r="C63" s="2" t="s">
        <v>120</v>
      </c>
      <c r="D63">
        <v>0</v>
      </c>
      <c r="E63">
        <v>250</v>
      </c>
      <c r="F63" s="1">
        <f>VLOOKUP(Table3[[#This Row],[Level]],LookupTables!$A$2:$C$11,3)</f>
        <v>25000</v>
      </c>
      <c r="G63">
        <f>VLOOKUP(F63,LookupTables!$E$2:$F$18,2)</f>
        <v>31</v>
      </c>
      <c r="H63">
        <f t="shared" si="7"/>
        <v>12500</v>
      </c>
      <c r="I63">
        <f>VLOOKUP(H63,LookupTables!$E$2:$F$18,2)</f>
        <v>27</v>
      </c>
      <c r="J63" s="1">
        <f t="shared" si="8"/>
        <v>25000</v>
      </c>
      <c r="K63">
        <f>VLOOKUP(J63,LookupTables!$E$2:$F$18,2)</f>
        <v>31</v>
      </c>
      <c r="L63">
        <f t="shared" si="9"/>
        <v>12500</v>
      </c>
      <c r="M63">
        <f>VLOOKUP(L63,LookupTables!$E$2:$F$18,2)</f>
        <v>27</v>
      </c>
      <c r="N63">
        <f t="shared" si="10"/>
        <v>12500</v>
      </c>
      <c r="O63">
        <f>VLOOKUP(N63,LookupTables!$E$2:$F$18,2)</f>
        <v>27</v>
      </c>
      <c r="P63" s="1">
        <f t="shared" si="11"/>
        <v>25250</v>
      </c>
      <c r="Q63">
        <f>VLOOKUP(P63,LookupTables!$E$2:$F$18,2)</f>
        <v>31</v>
      </c>
      <c r="R63">
        <f t="shared" si="12"/>
        <v>12625</v>
      </c>
      <c r="S63">
        <f>VLOOKUP(R63,LookupTables!$E$2:$F$18,2)</f>
        <v>27</v>
      </c>
      <c r="T63">
        <f t="shared" si="13"/>
        <v>12750</v>
      </c>
      <c r="U63">
        <f>VLOOKUP(T63,LookupTables!$E$2:$F$18,2)</f>
        <v>27</v>
      </c>
    </row>
    <row r="64" spans="1:21" x14ac:dyDescent="0.2">
      <c r="A64" t="s">
        <v>46</v>
      </c>
      <c r="B64">
        <v>7</v>
      </c>
      <c r="C64" s="2" t="s">
        <v>122</v>
      </c>
      <c r="D64">
        <v>0</v>
      </c>
      <c r="E64">
        <v>5</v>
      </c>
      <c r="F64" s="1">
        <f>VLOOKUP(Table3[[#This Row],[Level]],LookupTables!$A$2:$C$11,3)</f>
        <v>25000</v>
      </c>
      <c r="G64">
        <f>VLOOKUP(F64,LookupTables!$E$2:$F$18,2)</f>
        <v>31</v>
      </c>
      <c r="H64">
        <f t="shared" si="7"/>
        <v>12500</v>
      </c>
      <c r="I64">
        <f>VLOOKUP(H64,LookupTables!$E$2:$F$18,2)</f>
        <v>27</v>
      </c>
      <c r="J64" s="1">
        <f t="shared" si="8"/>
        <v>25000</v>
      </c>
      <c r="K64">
        <f>VLOOKUP(J64,LookupTables!$E$2:$F$18,2)</f>
        <v>31</v>
      </c>
      <c r="L64">
        <f t="shared" si="9"/>
        <v>12500</v>
      </c>
      <c r="M64">
        <f>VLOOKUP(L64,LookupTables!$E$2:$F$18,2)</f>
        <v>27</v>
      </c>
      <c r="N64">
        <f t="shared" si="10"/>
        <v>12500</v>
      </c>
      <c r="O64">
        <f>VLOOKUP(N64,LookupTables!$E$2:$F$18,2)</f>
        <v>27</v>
      </c>
      <c r="P64" s="1">
        <f t="shared" si="11"/>
        <v>25005</v>
      </c>
      <c r="Q64">
        <f>VLOOKUP(P64,LookupTables!$E$2:$F$18,2)</f>
        <v>31</v>
      </c>
      <c r="R64">
        <f t="shared" si="12"/>
        <v>12502.5</v>
      </c>
      <c r="S64">
        <f>VLOOKUP(R64,LookupTables!$E$2:$F$18,2)</f>
        <v>27</v>
      </c>
      <c r="T64">
        <f t="shared" si="13"/>
        <v>12505</v>
      </c>
      <c r="U64">
        <f>VLOOKUP(T64,LookupTables!$E$2:$F$18,2)</f>
        <v>27</v>
      </c>
    </row>
    <row r="65" spans="1:21" x14ac:dyDescent="0.2">
      <c r="A65" t="s">
        <v>50</v>
      </c>
      <c r="B65">
        <v>7</v>
      </c>
      <c r="C65" s="2" t="s">
        <v>126</v>
      </c>
      <c r="D65">
        <v>1000</v>
      </c>
      <c r="E65">
        <v>0</v>
      </c>
      <c r="F65" s="1">
        <f>VLOOKUP(Table3[[#This Row],[Level]],LookupTables!$A$2:$C$11,3)</f>
        <v>25000</v>
      </c>
      <c r="G65">
        <f>VLOOKUP(F65,LookupTables!$E$2:$F$18,2)</f>
        <v>31</v>
      </c>
      <c r="H65">
        <f t="shared" si="7"/>
        <v>12500</v>
      </c>
      <c r="I65">
        <f>VLOOKUP(H65,LookupTables!$E$2:$F$18,2)</f>
        <v>27</v>
      </c>
      <c r="J65" s="1">
        <f t="shared" si="8"/>
        <v>26000</v>
      </c>
      <c r="K65">
        <f>VLOOKUP(J65,LookupTables!$E$2:$F$18,2)</f>
        <v>31</v>
      </c>
      <c r="L65">
        <f t="shared" si="9"/>
        <v>13000</v>
      </c>
      <c r="M65">
        <f>VLOOKUP(L65,LookupTables!$E$2:$F$18,2)</f>
        <v>27</v>
      </c>
      <c r="N65">
        <f t="shared" si="10"/>
        <v>13500</v>
      </c>
      <c r="O65">
        <f>VLOOKUP(N65,LookupTables!$E$2:$F$18,2)</f>
        <v>27</v>
      </c>
      <c r="P65" s="1">
        <f t="shared" si="11"/>
        <v>26000</v>
      </c>
      <c r="Q65">
        <f>VLOOKUP(P65,LookupTables!$E$2:$F$18,2)</f>
        <v>31</v>
      </c>
      <c r="R65">
        <f t="shared" si="12"/>
        <v>13000</v>
      </c>
      <c r="S65">
        <f>VLOOKUP(R65,LookupTables!$E$2:$F$18,2)</f>
        <v>27</v>
      </c>
      <c r="T65">
        <f t="shared" si="13"/>
        <v>13500</v>
      </c>
      <c r="U65">
        <f>VLOOKUP(T65,LookupTables!$E$2:$F$18,2)</f>
        <v>27</v>
      </c>
    </row>
    <row r="66" spans="1:21" x14ac:dyDescent="0.2">
      <c r="A66" t="s">
        <v>53</v>
      </c>
      <c r="B66">
        <v>7</v>
      </c>
      <c r="C66" s="2" t="s">
        <v>129</v>
      </c>
      <c r="D66">
        <v>5000</v>
      </c>
      <c r="E66">
        <v>0</v>
      </c>
      <c r="F66" s="1">
        <f>VLOOKUP(Table3[[#This Row],[Level]],LookupTables!$A$2:$C$11,3)</f>
        <v>25000</v>
      </c>
      <c r="G66">
        <f>VLOOKUP(F66,LookupTables!$E$2:$F$18,2)</f>
        <v>31</v>
      </c>
      <c r="H66">
        <f t="shared" si="7"/>
        <v>12500</v>
      </c>
      <c r="I66">
        <f>VLOOKUP(H66,LookupTables!$E$2:$F$18,2)</f>
        <v>27</v>
      </c>
      <c r="J66" s="1">
        <f t="shared" si="8"/>
        <v>30000</v>
      </c>
      <c r="K66">
        <f>VLOOKUP(J66,LookupTables!$E$2:$F$18,2)</f>
        <v>31</v>
      </c>
      <c r="L66">
        <f t="shared" si="9"/>
        <v>15000</v>
      </c>
      <c r="M66">
        <f>VLOOKUP(L66,LookupTables!$E$2:$F$18,2)</f>
        <v>27</v>
      </c>
      <c r="N66">
        <f t="shared" si="10"/>
        <v>17500</v>
      </c>
      <c r="O66">
        <f>VLOOKUP(N66,LookupTables!$E$2:$F$18,2)</f>
        <v>29</v>
      </c>
      <c r="P66" s="1">
        <f t="shared" si="11"/>
        <v>30000</v>
      </c>
      <c r="Q66">
        <f>VLOOKUP(P66,LookupTables!$E$2:$F$18,2)</f>
        <v>31</v>
      </c>
      <c r="R66">
        <f t="shared" si="12"/>
        <v>15000</v>
      </c>
      <c r="S66">
        <f>VLOOKUP(R66,LookupTables!$E$2:$F$18,2)</f>
        <v>27</v>
      </c>
      <c r="T66">
        <f t="shared" si="13"/>
        <v>17500</v>
      </c>
      <c r="U66">
        <f>VLOOKUP(T66,LookupTables!$E$2:$F$18,2)</f>
        <v>29</v>
      </c>
    </row>
    <row r="67" spans="1:21" x14ac:dyDescent="0.2">
      <c r="A67" t="s">
        <v>55</v>
      </c>
      <c r="B67">
        <v>7</v>
      </c>
      <c r="C67" s="2" t="s">
        <v>131</v>
      </c>
      <c r="D67">
        <v>1500</v>
      </c>
      <c r="E67">
        <v>0</v>
      </c>
      <c r="F67" s="1">
        <f>VLOOKUP(Table3[[#This Row],[Level]],LookupTables!$A$2:$C$11,3)</f>
        <v>25000</v>
      </c>
      <c r="G67">
        <f>VLOOKUP(F67,LookupTables!$E$2:$F$18,2)</f>
        <v>31</v>
      </c>
      <c r="H67">
        <f t="shared" ref="H67:H75" si="14">F67/2</f>
        <v>12500</v>
      </c>
      <c r="I67">
        <f>VLOOKUP(H67,LookupTables!$E$2:$F$18,2)</f>
        <v>27</v>
      </c>
      <c r="J67" s="1">
        <f t="shared" ref="J67:J75" si="15">F67+D67</f>
        <v>26500</v>
      </c>
      <c r="K67">
        <f>VLOOKUP(J67,LookupTables!$E$2:$F$18,2)</f>
        <v>31</v>
      </c>
      <c r="L67">
        <f t="shared" ref="L67:L75" si="16">J67/2</f>
        <v>13250</v>
      </c>
      <c r="M67">
        <f>VLOOKUP(L67,LookupTables!$E$2:$F$18,2)</f>
        <v>27</v>
      </c>
      <c r="N67">
        <f t="shared" ref="N67:N75" si="17">F67/2+D67</f>
        <v>14000</v>
      </c>
      <c r="O67">
        <f>VLOOKUP(N67,LookupTables!$E$2:$F$18,2)</f>
        <v>27</v>
      </c>
      <c r="P67" s="1">
        <f t="shared" ref="P67:P75" si="18">F67+E67+D67</f>
        <v>26500</v>
      </c>
      <c r="Q67">
        <f>VLOOKUP(P67,LookupTables!$E$2:$F$18,2)</f>
        <v>31</v>
      </c>
      <c r="R67">
        <f t="shared" ref="R67:R75" si="19">P67/2</f>
        <v>13250</v>
      </c>
      <c r="S67">
        <f>VLOOKUP(R67,LookupTables!$E$2:$F$18,2)</f>
        <v>27</v>
      </c>
      <c r="T67">
        <f t="shared" ref="T67:T75" si="20">F67/2+E67+D67</f>
        <v>14000</v>
      </c>
      <c r="U67">
        <f>VLOOKUP(T67,LookupTables!$E$2:$F$18,2)</f>
        <v>27</v>
      </c>
    </row>
    <row r="68" spans="1:21" x14ac:dyDescent="0.2">
      <c r="A68" t="s">
        <v>68</v>
      </c>
      <c r="B68">
        <v>7</v>
      </c>
      <c r="C68" s="2" t="s">
        <v>142</v>
      </c>
      <c r="D68">
        <v>1000</v>
      </c>
      <c r="E68">
        <v>0</v>
      </c>
      <c r="F68" s="1">
        <f>VLOOKUP(Table3[[#This Row],[Level]],LookupTables!$A$2:$C$11,3)</f>
        <v>25000</v>
      </c>
      <c r="G68">
        <f>VLOOKUP(F68,LookupTables!$E$2:$F$18,2)</f>
        <v>31</v>
      </c>
      <c r="H68">
        <f t="shared" si="14"/>
        <v>12500</v>
      </c>
      <c r="I68">
        <f>VLOOKUP(H68,LookupTables!$E$2:$F$18,2)</f>
        <v>27</v>
      </c>
      <c r="J68" s="1">
        <f t="shared" si="15"/>
        <v>26000</v>
      </c>
      <c r="K68">
        <f>VLOOKUP(J68,LookupTables!$E$2:$F$18,2)</f>
        <v>31</v>
      </c>
      <c r="L68">
        <f t="shared" si="16"/>
        <v>13000</v>
      </c>
      <c r="M68">
        <f>VLOOKUP(L68,LookupTables!$E$2:$F$18,2)</f>
        <v>27</v>
      </c>
      <c r="N68">
        <f t="shared" si="17"/>
        <v>13500</v>
      </c>
      <c r="O68">
        <f>VLOOKUP(N68,LookupTables!$E$2:$F$18,2)</f>
        <v>27</v>
      </c>
      <c r="P68" s="1">
        <f t="shared" si="18"/>
        <v>26000</v>
      </c>
      <c r="Q68">
        <f>VLOOKUP(P68,LookupTables!$E$2:$F$18,2)</f>
        <v>31</v>
      </c>
      <c r="R68">
        <f t="shared" si="19"/>
        <v>13000</v>
      </c>
      <c r="S68">
        <f>VLOOKUP(R68,LookupTables!$E$2:$F$18,2)</f>
        <v>27</v>
      </c>
      <c r="T68">
        <f t="shared" si="20"/>
        <v>13500</v>
      </c>
      <c r="U68">
        <f>VLOOKUP(T68,LookupTables!$E$2:$F$18,2)</f>
        <v>27</v>
      </c>
    </row>
    <row r="69" spans="1:21" ht="38.25" x14ac:dyDescent="0.2">
      <c r="A69" t="s">
        <v>10</v>
      </c>
      <c r="B69">
        <v>8</v>
      </c>
      <c r="C69" s="2" t="s">
        <v>86</v>
      </c>
      <c r="D69">
        <v>1000</v>
      </c>
      <c r="E69">
        <v>2000</v>
      </c>
      <c r="F69" s="1">
        <f>VLOOKUP(Table3[[#This Row],[Level]],LookupTables!$A$2:$C$11,3)</f>
        <v>50000</v>
      </c>
      <c r="G69">
        <f>VLOOKUP(F69,LookupTables!$E$2:$F$18,2)</f>
        <v>31</v>
      </c>
      <c r="H69">
        <f t="shared" si="14"/>
        <v>25000</v>
      </c>
      <c r="I69">
        <f>VLOOKUP(H69,LookupTables!$E$2:$F$18,2)</f>
        <v>31</v>
      </c>
      <c r="J69" s="1">
        <f t="shared" si="15"/>
        <v>51000</v>
      </c>
      <c r="K69">
        <f>VLOOKUP(J69,LookupTables!$E$2:$F$18,2)</f>
        <v>31</v>
      </c>
      <c r="L69">
        <f t="shared" si="16"/>
        <v>25500</v>
      </c>
      <c r="M69">
        <f>VLOOKUP(L69,LookupTables!$E$2:$F$18,2)</f>
        <v>31</v>
      </c>
      <c r="N69">
        <f t="shared" si="17"/>
        <v>26000</v>
      </c>
      <c r="O69">
        <f>VLOOKUP(N69,LookupTables!$E$2:$F$18,2)</f>
        <v>31</v>
      </c>
      <c r="P69" s="1">
        <f t="shared" si="18"/>
        <v>53000</v>
      </c>
      <c r="Q69">
        <f>VLOOKUP(P69,LookupTables!$E$2:$F$18,2)</f>
        <v>31</v>
      </c>
      <c r="R69">
        <f t="shared" si="19"/>
        <v>26500</v>
      </c>
      <c r="S69">
        <f>VLOOKUP(R69,LookupTables!$E$2:$F$18,2)</f>
        <v>31</v>
      </c>
      <c r="T69">
        <f t="shared" si="20"/>
        <v>28000</v>
      </c>
      <c r="U69">
        <f>VLOOKUP(T69,LookupTables!$E$2:$F$18,2)</f>
        <v>31</v>
      </c>
    </row>
    <row r="70" spans="1:21" x14ac:dyDescent="0.2">
      <c r="A70" t="s">
        <v>29</v>
      </c>
      <c r="B70">
        <v>8</v>
      </c>
      <c r="C70" s="2" t="s">
        <v>105</v>
      </c>
      <c r="D70">
        <v>0</v>
      </c>
      <c r="E70">
        <v>1000</v>
      </c>
      <c r="F70" s="1">
        <f>VLOOKUP(Table3[[#This Row],[Level]],LookupTables!$A$2:$C$11,3)</f>
        <v>50000</v>
      </c>
      <c r="G70">
        <f>VLOOKUP(F70,LookupTables!$E$2:$F$18,2)</f>
        <v>31</v>
      </c>
      <c r="H70">
        <f t="shared" si="14"/>
        <v>25000</v>
      </c>
      <c r="I70">
        <f>VLOOKUP(H70,LookupTables!$E$2:$F$18,2)</f>
        <v>31</v>
      </c>
      <c r="J70" s="1">
        <f t="shared" si="15"/>
        <v>50000</v>
      </c>
      <c r="K70">
        <f>VLOOKUP(J70,LookupTables!$E$2:$F$18,2)</f>
        <v>31</v>
      </c>
      <c r="L70">
        <f t="shared" si="16"/>
        <v>25000</v>
      </c>
      <c r="M70">
        <f>VLOOKUP(L70,LookupTables!$E$2:$F$18,2)</f>
        <v>31</v>
      </c>
      <c r="N70">
        <f t="shared" si="17"/>
        <v>25000</v>
      </c>
      <c r="O70">
        <f>VLOOKUP(N70,LookupTables!$E$2:$F$18,2)</f>
        <v>31</v>
      </c>
      <c r="P70" s="1">
        <f t="shared" si="18"/>
        <v>51000</v>
      </c>
      <c r="Q70">
        <f>VLOOKUP(P70,LookupTables!$E$2:$F$18,2)</f>
        <v>31</v>
      </c>
      <c r="R70">
        <f t="shared" si="19"/>
        <v>25500</v>
      </c>
      <c r="S70">
        <f>VLOOKUP(R70,LookupTables!$E$2:$F$18,2)</f>
        <v>31</v>
      </c>
      <c r="T70">
        <f t="shared" si="20"/>
        <v>26000</v>
      </c>
      <c r="U70">
        <f>VLOOKUP(T70,LookupTables!$E$2:$F$18,2)</f>
        <v>31</v>
      </c>
    </row>
    <row r="71" spans="1:21" ht="25.5" x14ac:dyDescent="0.2">
      <c r="A71" t="s">
        <v>3</v>
      </c>
      <c r="B71">
        <v>9</v>
      </c>
      <c r="C71" s="2" t="s">
        <v>79</v>
      </c>
      <c r="D71">
        <v>1100</v>
      </c>
      <c r="E71">
        <v>0</v>
      </c>
      <c r="F71" s="1">
        <f>VLOOKUP(Table3[[#This Row],[Level]],LookupTables!$A$2:$C$11,3)</f>
        <v>250000</v>
      </c>
      <c r="G71">
        <f>VLOOKUP(F71,LookupTables!$E$2:$F$18,2)</f>
        <v>31</v>
      </c>
      <c r="H71">
        <f t="shared" si="14"/>
        <v>125000</v>
      </c>
      <c r="I71">
        <f>VLOOKUP(H71,LookupTables!$E$2:$F$18,2)</f>
        <v>31</v>
      </c>
      <c r="J71" s="1">
        <f t="shared" si="15"/>
        <v>251100</v>
      </c>
      <c r="K71">
        <f>VLOOKUP(J71,LookupTables!$E$2:$F$18,2)</f>
        <v>31</v>
      </c>
      <c r="L71">
        <f t="shared" si="16"/>
        <v>125550</v>
      </c>
      <c r="M71">
        <f>VLOOKUP(L71,LookupTables!$E$2:$F$18,2)</f>
        <v>31</v>
      </c>
      <c r="N71">
        <f t="shared" si="17"/>
        <v>126100</v>
      </c>
      <c r="O71">
        <f>VLOOKUP(N71,LookupTables!$E$2:$F$18,2)</f>
        <v>31</v>
      </c>
      <c r="P71" s="1">
        <f t="shared" si="18"/>
        <v>251100</v>
      </c>
      <c r="Q71">
        <f>VLOOKUP(P71,LookupTables!$E$2:$F$18,2)</f>
        <v>31</v>
      </c>
      <c r="R71">
        <f t="shared" si="19"/>
        <v>125550</v>
      </c>
      <c r="S71">
        <f>VLOOKUP(R71,LookupTables!$E$2:$F$18,2)</f>
        <v>31</v>
      </c>
      <c r="T71">
        <f t="shared" si="20"/>
        <v>126100</v>
      </c>
      <c r="U71">
        <f>VLOOKUP(T71,LookupTables!$E$2:$F$18,2)</f>
        <v>31</v>
      </c>
    </row>
    <row r="72" spans="1:21" x14ac:dyDescent="0.2">
      <c r="A72" t="s">
        <v>23</v>
      </c>
      <c r="B72">
        <v>9</v>
      </c>
      <c r="C72" s="2" t="s">
        <v>99</v>
      </c>
      <c r="D72">
        <v>0</v>
      </c>
      <c r="E72">
        <v>5000</v>
      </c>
      <c r="F72" s="1">
        <f>VLOOKUP(Table3[[#This Row],[Level]],LookupTables!$A$2:$C$11,3)</f>
        <v>250000</v>
      </c>
      <c r="G72">
        <f>VLOOKUP(F72,LookupTables!$E$2:$F$18,2)</f>
        <v>31</v>
      </c>
      <c r="H72">
        <f t="shared" si="14"/>
        <v>125000</v>
      </c>
      <c r="I72">
        <f>VLOOKUP(H72,LookupTables!$E$2:$F$18,2)</f>
        <v>31</v>
      </c>
      <c r="J72" s="1">
        <f t="shared" si="15"/>
        <v>250000</v>
      </c>
      <c r="K72">
        <f>VLOOKUP(J72,LookupTables!$E$2:$F$18,2)</f>
        <v>31</v>
      </c>
      <c r="L72">
        <f t="shared" si="16"/>
        <v>125000</v>
      </c>
      <c r="M72">
        <f>VLOOKUP(L72,LookupTables!$E$2:$F$18,2)</f>
        <v>31</v>
      </c>
      <c r="N72">
        <f t="shared" si="17"/>
        <v>125000</v>
      </c>
      <c r="O72">
        <f>VLOOKUP(N72,LookupTables!$E$2:$F$18,2)</f>
        <v>31</v>
      </c>
      <c r="P72" s="1">
        <f t="shared" si="18"/>
        <v>255000</v>
      </c>
      <c r="Q72">
        <f>VLOOKUP(P72,LookupTables!$E$2:$F$18,2)</f>
        <v>31</v>
      </c>
      <c r="R72">
        <f t="shared" si="19"/>
        <v>127500</v>
      </c>
      <c r="S72">
        <f>VLOOKUP(R72,LookupTables!$E$2:$F$18,2)</f>
        <v>31</v>
      </c>
      <c r="T72">
        <f t="shared" si="20"/>
        <v>130000</v>
      </c>
      <c r="U72">
        <f>VLOOKUP(T72,LookupTables!$E$2:$F$18,2)</f>
        <v>31</v>
      </c>
    </row>
    <row r="73" spans="1:21" x14ac:dyDescent="0.2">
      <c r="A73" t="s">
        <v>33</v>
      </c>
      <c r="B73">
        <v>9</v>
      </c>
      <c r="C73" s="2" t="s">
        <v>109</v>
      </c>
      <c r="D73">
        <v>0</v>
      </c>
      <c r="E73">
        <v>5000</v>
      </c>
      <c r="F73" s="1">
        <f>VLOOKUP(Table3[[#This Row],[Level]],LookupTables!$A$2:$C$11,3)</f>
        <v>250000</v>
      </c>
      <c r="G73">
        <f>VLOOKUP(F73,LookupTables!$E$2:$F$18,2)</f>
        <v>31</v>
      </c>
      <c r="H73">
        <f t="shared" si="14"/>
        <v>125000</v>
      </c>
      <c r="I73">
        <f>VLOOKUP(H73,LookupTables!$E$2:$F$18,2)</f>
        <v>31</v>
      </c>
      <c r="J73" s="1">
        <f t="shared" si="15"/>
        <v>250000</v>
      </c>
      <c r="K73">
        <f>VLOOKUP(J73,LookupTables!$E$2:$F$18,2)</f>
        <v>31</v>
      </c>
      <c r="L73">
        <f t="shared" si="16"/>
        <v>125000</v>
      </c>
      <c r="M73">
        <f>VLOOKUP(L73,LookupTables!$E$2:$F$18,2)</f>
        <v>31</v>
      </c>
      <c r="N73">
        <f t="shared" si="17"/>
        <v>125000</v>
      </c>
      <c r="O73">
        <f>VLOOKUP(N73,LookupTables!$E$2:$F$18,2)</f>
        <v>31</v>
      </c>
      <c r="P73" s="1">
        <f t="shared" si="18"/>
        <v>255000</v>
      </c>
      <c r="Q73">
        <f>VLOOKUP(P73,LookupTables!$E$2:$F$18,2)</f>
        <v>31</v>
      </c>
      <c r="R73">
        <f t="shared" si="19"/>
        <v>127500</v>
      </c>
      <c r="S73">
        <f>VLOOKUP(R73,LookupTables!$E$2:$F$18,2)</f>
        <v>31</v>
      </c>
      <c r="T73">
        <f t="shared" si="20"/>
        <v>130000</v>
      </c>
      <c r="U73">
        <f>VLOOKUP(T73,LookupTables!$E$2:$F$18,2)</f>
        <v>31</v>
      </c>
    </row>
    <row r="74" spans="1:21" x14ac:dyDescent="0.2">
      <c r="A74" t="s">
        <v>54</v>
      </c>
      <c r="B74">
        <v>9</v>
      </c>
      <c r="C74" s="2" t="s">
        <v>130</v>
      </c>
      <c r="D74">
        <v>0</v>
      </c>
      <c r="E74">
        <v>1500</v>
      </c>
      <c r="F74" s="1">
        <f>VLOOKUP(Table3[[#This Row],[Level]],LookupTables!$A$2:$C$11,3)</f>
        <v>250000</v>
      </c>
      <c r="G74">
        <f>VLOOKUP(F74,LookupTables!$E$2:$F$18,2)</f>
        <v>31</v>
      </c>
      <c r="H74">
        <f t="shared" si="14"/>
        <v>125000</v>
      </c>
      <c r="I74">
        <f>VLOOKUP(H74,LookupTables!$E$2:$F$18,2)</f>
        <v>31</v>
      </c>
      <c r="J74" s="1">
        <f t="shared" si="15"/>
        <v>250000</v>
      </c>
      <c r="K74">
        <f>VLOOKUP(J74,LookupTables!$E$2:$F$18,2)</f>
        <v>31</v>
      </c>
      <c r="L74">
        <f t="shared" si="16"/>
        <v>125000</v>
      </c>
      <c r="M74">
        <f>VLOOKUP(L74,LookupTables!$E$2:$F$18,2)</f>
        <v>31</v>
      </c>
      <c r="N74">
        <f t="shared" si="17"/>
        <v>125000</v>
      </c>
      <c r="O74">
        <f>VLOOKUP(N74,LookupTables!$E$2:$F$18,2)</f>
        <v>31</v>
      </c>
      <c r="P74" s="1">
        <f t="shared" si="18"/>
        <v>251500</v>
      </c>
      <c r="Q74">
        <f>VLOOKUP(P74,LookupTables!$E$2:$F$18,2)</f>
        <v>31</v>
      </c>
      <c r="R74">
        <f t="shared" si="19"/>
        <v>125750</v>
      </c>
      <c r="S74">
        <f>VLOOKUP(R74,LookupTables!$E$2:$F$18,2)</f>
        <v>31</v>
      </c>
      <c r="T74">
        <f t="shared" si="20"/>
        <v>126500</v>
      </c>
      <c r="U74">
        <f>VLOOKUP(T74,LookupTables!$E$2:$F$18,2)</f>
        <v>31</v>
      </c>
    </row>
    <row r="75" spans="1:21" x14ac:dyDescent="0.2">
      <c r="A75" t="s">
        <v>71</v>
      </c>
      <c r="B75">
        <v>9</v>
      </c>
      <c r="C75" s="2" t="s">
        <v>145</v>
      </c>
      <c r="D75">
        <v>25000</v>
      </c>
      <c r="E75">
        <v>0</v>
      </c>
      <c r="F75" s="1">
        <f>VLOOKUP(Table3[[#This Row],[Level]],LookupTables!$A$2:$C$11,3)</f>
        <v>250000</v>
      </c>
      <c r="G75">
        <f>VLOOKUP(F75,LookupTables!$E$2:$F$18,2)</f>
        <v>31</v>
      </c>
      <c r="H75">
        <f t="shared" si="14"/>
        <v>125000</v>
      </c>
      <c r="I75">
        <f>VLOOKUP(H75,LookupTables!$E$2:$F$18,2)</f>
        <v>31</v>
      </c>
      <c r="J75" s="1">
        <f t="shared" si="15"/>
        <v>275000</v>
      </c>
      <c r="K75">
        <f>VLOOKUP(J75,LookupTables!$E$2:$F$18,2)</f>
        <v>31</v>
      </c>
      <c r="L75">
        <f t="shared" si="16"/>
        <v>137500</v>
      </c>
      <c r="M75">
        <f>VLOOKUP(L75,LookupTables!$E$2:$F$18,2)</f>
        <v>31</v>
      </c>
      <c r="N75">
        <f t="shared" si="17"/>
        <v>150000</v>
      </c>
      <c r="O75">
        <f>VLOOKUP(N75,LookupTables!$E$2:$F$18,2)</f>
        <v>31</v>
      </c>
      <c r="P75" s="1">
        <f t="shared" si="18"/>
        <v>275000</v>
      </c>
      <c r="Q75">
        <f>VLOOKUP(P75,LookupTables!$E$2:$F$18,2)</f>
        <v>31</v>
      </c>
      <c r="R75">
        <f t="shared" si="19"/>
        <v>137500</v>
      </c>
      <c r="S75">
        <f>VLOOKUP(R75,LookupTables!$E$2:$F$18,2)</f>
        <v>31</v>
      </c>
      <c r="T75">
        <f t="shared" si="20"/>
        <v>150000</v>
      </c>
      <c r="U75">
        <f>VLOOKUP(T75,LookupTables!$E$2:$F$18,2)</f>
        <v>31</v>
      </c>
    </row>
  </sheetData>
  <mergeCells count="3">
    <mergeCell ref="F1:I1"/>
    <mergeCell ref="J1:O1"/>
    <mergeCell ref="P1:U1"/>
  </mergeCells>
  <phoneticPr fontId="0" type="noConversion"/>
  <pageMargins left="0.75" right="0.75" top="1" bottom="1" header="0.5" footer="0.5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EDD35-2CAE-4049-996C-676833461844}">
  <dimension ref="A1:F18"/>
  <sheetViews>
    <sheetView workbookViewId="0">
      <selection activeCell="E14" sqref="E14"/>
    </sheetView>
  </sheetViews>
  <sheetFormatPr defaultRowHeight="12.75" x14ac:dyDescent="0.2"/>
  <cols>
    <col min="1" max="1" width="8.140625" customWidth="1"/>
    <col min="2" max="2" width="12.7109375" bestFit="1" customWidth="1"/>
    <col min="6" max="6" width="13.5703125" customWidth="1"/>
  </cols>
  <sheetData>
    <row r="1" spans="1:6" x14ac:dyDescent="0.2">
      <c r="A1" t="s">
        <v>74</v>
      </c>
      <c r="B1" t="s">
        <v>153</v>
      </c>
      <c r="C1" t="s">
        <v>149</v>
      </c>
      <c r="E1" t="s">
        <v>149</v>
      </c>
      <c r="F1" t="s">
        <v>162</v>
      </c>
    </row>
    <row r="2" spans="1:6" x14ac:dyDescent="0.2">
      <c r="A2">
        <v>0</v>
      </c>
      <c r="B2" t="s">
        <v>75</v>
      </c>
      <c r="C2">
        <v>15</v>
      </c>
      <c r="E2">
        <v>0</v>
      </c>
      <c r="F2">
        <v>0</v>
      </c>
    </row>
    <row r="3" spans="1:6" x14ac:dyDescent="0.2">
      <c r="A3">
        <v>1</v>
      </c>
      <c r="B3" t="s">
        <v>75</v>
      </c>
      <c r="C3">
        <v>25</v>
      </c>
      <c r="E3">
        <v>50</v>
      </c>
      <c r="F3">
        <v>1</v>
      </c>
    </row>
    <row r="4" spans="1:6" x14ac:dyDescent="0.2">
      <c r="A4">
        <v>2</v>
      </c>
      <c r="B4" t="s">
        <v>154</v>
      </c>
      <c r="C4">
        <v>250</v>
      </c>
      <c r="E4">
        <v>150</v>
      </c>
      <c r="F4">
        <v>3</v>
      </c>
    </row>
    <row r="5" spans="1:6" x14ac:dyDescent="0.2">
      <c r="A5">
        <v>3</v>
      </c>
      <c r="B5" t="s">
        <v>155</v>
      </c>
      <c r="C5">
        <v>500</v>
      </c>
      <c r="E5">
        <v>300</v>
      </c>
      <c r="F5">
        <v>5</v>
      </c>
    </row>
    <row r="6" spans="1:6" x14ac:dyDescent="0.2">
      <c r="A6">
        <v>4</v>
      </c>
      <c r="B6" t="s">
        <v>156</v>
      </c>
      <c r="C6">
        <v>2500</v>
      </c>
      <c r="E6">
        <v>400</v>
      </c>
      <c r="F6">
        <v>7</v>
      </c>
    </row>
    <row r="7" spans="1:6" x14ac:dyDescent="0.2">
      <c r="A7">
        <v>5</v>
      </c>
      <c r="B7" t="s">
        <v>157</v>
      </c>
      <c r="C7">
        <v>5000</v>
      </c>
      <c r="E7">
        <v>800</v>
      </c>
      <c r="F7">
        <v>9</v>
      </c>
    </row>
    <row r="8" spans="1:6" x14ac:dyDescent="0.2">
      <c r="A8">
        <v>6</v>
      </c>
      <c r="B8" t="s">
        <v>158</v>
      </c>
      <c r="C8">
        <v>15000</v>
      </c>
      <c r="E8">
        <v>1200</v>
      </c>
      <c r="F8">
        <v>11</v>
      </c>
    </row>
    <row r="9" spans="1:6" x14ac:dyDescent="0.2">
      <c r="A9">
        <v>7</v>
      </c>
      <c r="B9" t="s">
        <v>159</v>
      </c>
      <c r="C9">
        <v>25000</v>
      </c>
      <c r="E9">
        <v>1600</v>
      </c>
      <c r="F9">
        <v>13</v>
      </c>
    </row>
    <row r="10" spans="1:6" x14ac:dyDescent="0.2">
      <c r="A10">
        <v>8</v>
      </c>
      <c r="B10" t="s">
        <v>161</v>
      </c>
      <c r="C10">
        <v>50000</v>
      </c>
      <c r="E10">
        <v>2000</v>
      </c>
      <c r="F10">
        <v>15</v>
      </c>
    </row>
    <row r="11" spans="1:6" x14ac:dyDescent="0.2">
      <c r="A11">
        <v>9</v>
      </c>
      <c r="B11" t="s">
        <v>160</v>
      </c>
      <c r="C11">
        <v>250000</v>
      </c>
      <c r="E11">
        <v>2500</v>
      </c>
      <c r="F11">
        <v>17</v>
      </c>
    </row>
    <row r="12" spans="1:6" x14ac:dyDescent="0.2">
      <c r="E12">
        <v>3000</v>
      </c>
      <c r="F12">
        <v>19</v>
      </c>
    </row>
    <row r="13" spans="1:6" x14ac:dyDescent="0.2">
      <c r="E13">
        <v>3500</v>
      </c>
      <c r="F13">
        <v>21</v>
      </c>
    </row>
    <row r="14" spans="1:6" x14ac:dyDescent="0.2">
      <c r="E14">
        <v>4000</v>
      </c>
      <c r="F14">
        <v>23</v>
      </c>
    </row>
    <row r="15" spans="1:6" x14ac:dyDescent="0.2">
      <c r="E15">
        <v>8000</v>
      </c>
      <c r="F15">
        <v>25</v>
      </c>
    </row>
    <row r="16" spans="1:6" x14ac:dyDescent="0.2">
      <c r="E16">
        <v>12000</v>
      </c>
      <c r="F16">
        <v>27</v>
      </c>
    </row>
    <row r="17" spans="5:6" x14ac:dyDescent="0.2">
      <c r="E17">
        <v>16000</v>
      </c>
      <c r="F17">
        <v>29</v>
      </c>
    </row>
    <row r="18" spans="5:6" x14ac:dyDescent="0.2">
      <c r="E18">
        <v>20000</v>
      </c>
      <c r="F18">
        <v>31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LookupTables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Ashley Björs</cp:lastModifiedBy>
  <dcterms:created xsi:type="dcterms:W3CDTF">2026-08-18T19:18:13Z</dcterms:created>
  <dcterms:modified xsi:type="dcterms:W3CDTF">2026-08-19T20:05:23Z</dcterms:modified>
</cp:coreProperties>
</file>